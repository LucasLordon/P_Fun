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516B1659-06EA-4FC1-A0F6-6D76BCFAB6BB}" xr6:coauthVersionLast="47" xr6:coauthVersionMax="47" xr10:uidLastSave="{00000000-0000-0000-0000-000000000000}"/>
  <bookViews>
    <workbookView xWindow="0" yWindow="0" windowWidth="14400" windowHeight="1560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B36" i="12"/>
  <c r="C35" i="12"/>
  <c r="C34" i="12"/>
  <c r="C33" i="12"/>
  <c r="C32" i="12"/>
  <c r="B48" i="12"/>
  <c r="C47" i="12"/>
  <c r="C46" i="12"/>
  <c r="C45" i="12"/>
  <c r="B60" i="12"/>
  <c r="C59" i="12"/>
  <c r="C58" i="12"/>
  <c r="B72" i="12"/>
  <c r="C71" i="12"/>
  <c r="C70" i="12"/>
  <c r="C69" i="12"/>
  <c r="C5" i="12"/>
  <c r="C4" i="12"/>
  <c r="C12" i="12"/>
  <c r="C48" i="12"/>
  <c r="C30" i="12"/>
  <c r="C44" i="12"/>
  <c r="C66" i="12"/>
  <c r="C60" i="12"/>
  <c r="C56" i="12"/>
  <c r="C42" i="12"/>
  <c r="C57" i="12"/>
  <c r="C72" i="12"/>
  <c r="C40" i="12"/>
  <c r="C52" i="12"/>
  <c r="C31" i="12"/>
  <c r="C53" i="12"/>
  <c r="C68" i="12"/>
  <c r="C41" i="12"/>
  <c r="C29" i="12"/>
  <c r="C54" i="12"/>
  <c r="C67" i="12"/>
  <c r="C64" i="12"/>
  <c r="C36" i="12"/>
  <c r="C65" i="12"/>
  <c r="C55" i="12"/>
  <c r="C28" i="12"/>
  <c r="C43" i="12"/>
  <c r="C20" i="12"/>
  <c r="C19" i="12"/>
  <c r="C18" i="12"/>
  <c r="C17" i="12"/>
  <c r="C16" i="12"/>
  <c r="C24"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<sst xmlns="http://schemas.openxmlformats.org/spreadsheetml/2006/main" count="262" uniqueCount="90">
  <si>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</si>
  <si>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</si>
  <si>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</si>
  <si>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</si>
  <si>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</si>
  <si>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</si>
  <si>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</si>
  <si>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</si>
  <si>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</si>
  <si>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</si>
  <si>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</si>
  <si>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</si>
  <si>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</si>
  <si>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</si>
  <si>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</si>
  <si>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</si>
  <si>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</si>
  <si>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</si>
  <si>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</si>
  <si>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</si>
  <si>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</si>
  <si>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</si>
  <si>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</si>
  <si>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</si>
  <si>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</si>
  <si>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</si>
  <si>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</si>
  <si>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</si>
  <si>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</si>
  <si>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</si>
  <si>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</si>
  <si>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</si>
  <si>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</si>
  <si>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</si>
  <si>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</si>
  <si>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</si>
  <si>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</si>
  <si>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</si>
  <si>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</si>
  <si>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</si>
  <si>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</si>
  <si>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</si>
  <si>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</si>
  <si>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</si>
  <si>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</si>
  <si>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</si>
  <si>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</si>
  <si>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</si>
  <si>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</si>
  <si>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</si>
  <si>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</si>
  <si>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</si>
  <si>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</si>
  <si>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</si>
  <si>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</si>
  <si>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</si>
  <si>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</si>
  <si>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</si>
  <si>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</si>
  <si>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</si>
  <si>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</si>
  <si>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</si>
  <si>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</si>
  <si>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</si>
  <si>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</si>
  <si>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</si>
  <si>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</si>
  <si>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</si>
  <si>
    <t>Je suis bloquer sur un bug, scoot plot ne marche n'y sur wpf n'y sur forms. J'essaye de mettre à jour les package mais cela ne marche pas. Après de nombreuses minutes de recherches, ne trouvant pas d'aide sur les forums je demande à X.Carrel de l'aide. Il fini par trouver que .Net n'est pas à jour (version 7.4.0). La mise à jour à durée de longues minutes.</t>
  </si>
  <si>
    <t>Je redémare mon pc. Je crée un nouveau projet, et le même bug revient. Je vérifie visual studio installer et les propriété. J'averti X.Carrel après plusieur minutes de débug il a l'idée de crée le projet sur sont pc et de me l'envoier via teams et sa marche !!! Moralité il n'y a plus le bug mais nous avons pas réussi à réparer cette erreur sur ce post.</t>
  </si>
  <si>
    <t>théorie eval</t>
  </si>
  <si>
    <t>début code</t>
  </si>
  <si>
    <t>Debug le bug scottplot (10 min seule puis avec Thomas pendant 30 min). Essayer de remettre à jour Visual Studio Code, cela ne change rien. Essayer de crée le projet en WPF, WPF.Framework et GUI, cela ne marche pas. Essayer de regarder la version de l'installeur de package mais c'est la dernière. Au boût de 40 min Thomas essaye de crée un projet en Windows Forms et pas en Windows Forms WPF. Cela marche enfin.</t>
  </si>
  <si>
    <t>Je me remet à travailler quand et en démarant le projet scottPlot ne marche  plus.</t>
  </si>
  <si>
    <t>Théorie Commit GitHub de X.Carrel</t>
  </si>
  <si>
    <t>[1] https://learn.microsoft.com/fr-fr/nuget/consume-packages/package-source-mapping
[2]https://learn.microsoft.com/fr-fr/nuget/consume-packages/package-restore
[3] https://learn.microsoft.com/fr-fr/nuget/consume-packages/package-restore-troubleshooting</t>
  </si>
  <si>
    <t>J'essaye de debuguer de plein de façons différente : installer les nuget en ligne de commandes, importer scott plot en WPF, Verifier les version de mes package avec celle de joachime, doc de microsoft [1,2,3] et plein d'autres site tels que stack overflow. Discution avec X.Carrel de si oui ou non je devrait continuer mes recherche de debug ou bien passer sur du chart(Conclusion je continue en scottplot.</t>
  </si>
  <si>
    <t>Je décide de coder un peu et de prendre une pause sur la partie debug. Création d'une nouvelle méthode pour importer les data du covid pour chaque canton.</t>
  </si>
  <si>
    <t>création d'une fenêtre pour afficher les donner avec un bouton importe data qui appel la methode ci-dessu. Cela ma pris du temps car je n'avais j'amais fait ce genre d'ux/ui design.</t>
  </si>
  <si>
    <t>Déplacer le code de Projet_Fun_Chart à P_Fun_Forms. Cela ma prix beaucoup de temps en raison de bug de dépendances.</t>
  </si>
  <si>
    <t>feated a basic graph with test data and making a Mouse Data Tracker ( spread value were the cursor is on the graph )</t>
  </si>
  <si>
    <t>Remake JDT 13.09.2024 And make JDT 20.09.2024</t>
  </si>
  <si>
    <t>retrouver les fichier des 26 canton + bug deconection de github (validation de l'email echouer)</t>
  </si>
  <si>
    <t xml:space="preserve">avancer dans la selection de canton via des check box. J'ai rencontrer plusieur bug : 1) les case ce mettent les une sur les autres lors de la boucle for de génération en fonction du dictionnaire. 2) importation des donnée importe tout le temps les même donnée 3) pas de clear data 4) Courbe de la même couleur  </t>
  </si>
  <si>
    <t>étât final : mon programme n'affiche plus aucune donnée ):</t>
  </si>
  <si>
    <t>afficher les data en dateTime Type pour l'axe X dans le graphique</t>
  </si>
  <si>
    <t>afficher les vrais data (problème Linq) + temps ice scrum. Je fini la partie "programme de test" et passe à la manipulation des vrai données</t>
  </si>
  <si>
    <t>11 min intro cours (ia code) + discution rdv "ES ETML"</t>
  </si>
  <si>
    <t>intro du cours (bien/pas bien éval des 80%). A retenir : Attention une User Story doit pouvoir être réaliser par un utilisateur lambda.</t>
  </si>
  <si>
    <t>X.Carrel m'aide à réaliser un checkout car j'ai fait un reverse dans la mauvaise situation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</si>
</sst>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60" t="s">
        <v>35</v>
      </c>
      <c r="D1" s="160"/>
      <c r="E1" s="16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61"/>
      <c r="D7" s="161"/>
      <c r="E7" s="16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72" t="str">
        <f>E96</f>
        <v>0h</v>
      </c>
      <c r="H9" s="172"/>
      <c r="I9" s="172"/>
      <c r="J9" s="172"/>
      <c r="K9" s="172"/>
      <c r="L9" s="172"/>
      <c r="M9" s="172"/>
      <c r="N9" s="172"/>
      <c r="O9" s="172"/>
      <c r="P9" s="172"/>
      <c r="Q9" s="172"/>
      <c r="R9" s="172"/>
      <c r="S9" s="172"/>
      <c r="T9" s="172"/>
      <c r="U9" s="172"/>
      <c r="V9" s="103"/>
      <c r="W9" s="171" t="s">
        <v>27</v>
      </c>
      <c r="X9" s="171"/>
      <c r="Y9" s="171"/>
      <c r="Z9" s="171"/>
      <c r="AA9" s="171"/>
      <c r="AB9" s="171"/>
      <c r="AC9" s="171"/>
      <c r="AD9" s="171"/>
      <c r="AE9" s="171"/>
      <c r="AF9" s="171"/>
      <c r="AG9" s="171"/>
      <c r="AH9" s="172" t="str">
        <f>E98</f>
        <v>7h45min</v>
      </c>
      <c r="AI9" s="172"/>
      <c r="AJ9" s="172"/>
      <c r="AK9" s="172"/>
      <c r="AL9" s="172"/>
      <c r="AM9" s="172"/>
      <c r="AN9" s="172"/>
      <c r="AO9" s="172"/>
      <c r="AP9" s="172"/>
      <c r="AQ9" s="172"/>
      <c r="AR9" s="172"/>
      <c r="AS9" s="172"/>
      <c r="AT9" s="172"/>
      <c r="AU9" s="172"/>
      <c r="AV9" s="172"/>
      <c r="AW9" s="17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73"/>
      <c r="CS10" s="173"/>
      <c r="CT10" s="173"/>
      <c r="CU10" s="173"/>
      <c r="CV10" s="173"/>
      <c r="CW10" s="173"/>
      <c r="CX10" s="173"/>
      <c r="CY10" s="173"/>
      <c r="CZ10" s="173"/>
      <c r="DA10" s="173"/>
      <c r="DB10" s="173"/>
      <c r="DC10" s="173"/>
      <c r="DD10" s="173"/>
      <c r="DE10" s="173"/>
      <c r="DF10" s="173"/>
      <c r="DG10" s="173"/>
      <c r="DH10" s="173"/>
      <c r="DI10" s="173"/>
      <c r="DJ10" s="173"/>
      <c r="DK10" s="173"/>
      <c r="DL10" s="173"/>
      <c r="DM10" s="173"/>
      <c r="DN10" s="173"/>
      <c r="DO10" s="173"/>
      <c r="DP10" s="173"/>
      <c r="DQ10" s="173"/>
      <c r="DR10" s="173"/>
      <c r="DS10" s="173"/>
      <c r="DT10" s="173"/>
      <c r="DU10" s="173"/>
      <c r="DV10" s="173"/>
      <c r="DW10" s="173"/>
      <c r="DX10" s="173"/>
      <c r="DY10" s="173"/>
      <c r="DZ10" s="173"/>
      <c r="EA10" s="173"/>
      <c r="EB10" s="173"/>
      <c r="EC10" s="173"/>
      <c r="ED10" s="173"/>
      <c r="EE10" s="173"/>
      <c r="EF10" s="173"/>
      <c r="EG10" s="173"/>
      <c r="EH10" s="173"/>
      <c r="EI10" s="173"/>
      <c r="EJ10" s="173"/>
      <c r="EK10" s="173"/>
      <c r="EL10" s="173"/>
      <c r="EM10" s="173"/>
      <c r="EN10" s="173"/>
      <c r="EO10" s="173"/>
      <c r="EP10" s="173"/>
      <c r="EQ10" s="173"/>
      <c r="ER10" s="173"/>
      <c r="ES10" s="173"/>
      <c r="ET10" s="173"/>
      <c r="EU10" s="173"/>
      <c r="EV10" s="173"/>
      <c r="EW10" s="173"/>
      <c r="EX10" s="173"/>
      <c r="EY10" s="173"/>
      <c r="EZ10" s="173"/>
      <c r="FA10" s="173"/>
      <c r="FB10" s="173"/>
      <c r="FC10" s="173"/>
      <c r="FD10" s="173"/>
      <c r="FE10" s="173"/>
      <c r="FF10" s="173"/>
      <c r="FG10" s="173"/>
      <c r="FH10" s="173"/>
      <c r="FI10" s="173"/>
      <c r="FJ10" s="173"/>
      <c r="FK10" s="173"/>
      <c r="FL10" s="173"/>
      <c r="FM10" s="173"/>
      <c r="FN10" s="173"/>
      <c r="FO10" s="173"/>
      <c r="FP10" s="173"/>
      <c r="FQ10" s="173"/>
      <c r="FR10" s="173"/>
      <c r="FS10" s="173"/>
      <c r="FT10" s="173"/>
      <c r="FU10" s="173"/>
      <c r="FV10" s="173"/>
      <c r="FW10" s="173"/>
      <c r="FX10" s="173"/>
      <c r="FY10" s="173"/>
      <c r="FZ10" s="173"/>
      <c r="GA10" s="173"/>
      <c r="GB10" s="173"/>
      <c r="GC10" s="173"/>
      <c r="GD10" s="75"/>
    </row>
    <row r="11" spans="1:186" ht="20.100000000000001" customHeight="1" x14ac:dyDescent="0.25">
      <c r="B11" s="53"/>
      <c r="C11" s="158"/>
      <c r="D11" s="158"/>
      <c r="E11" s="158"/>
      <c r="F11" s="170" t="s">
        <v>48</v>
      </c>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t="s">
        <v>48</v>
      </c>
      <c r="BO11" s="170"/>
      <c r="BP11" s="170"/>
      <c r="BQ11" s="170"/>
      <c r="BR11" s="170"/>
      <c r="BS11" s="170"/>
      <c r="BT11" s="170"/>
      <c r="BU11" s="170"/>
      <c r="BV11" s="170"/>
      <c r="BW11" s="170"/>
      <c r="BX11" s="170"/>
      <c r="BY11" s="170"/>
      <c r="BZ11" s="170"/>
      <c r="CA11" s="170"/>
      <c r="CB11" s="170"/>
      <c r="CC11" s="170"/>
      <c r="CD11" s="170"/>
      <c r="CE11" s="170"/>
      <c r="CF11" s="170"/>
      <c r="CG11" s="170"/>
      <c r="CH11" s="170"/>
      <c r="CI11" s="170"/>
      <c r="CJ11" s="170"/>
      <c r="CK11" s="170"/>
      <c r="CL11" s="170"/>
      <c r="CM11" s="170"/>
      <c r="CN11" s="170"/>
      <c r="CO11" s="170"/>
      <c r="CP11" s="170"/>
      <c r="CQ11" s="170"/>
      <c r="CR11" s="170"/>
      <c r="CS11" s="170"/>
      <c r="CT11" s="170"/>
      <c r="CU11" s="170"/>
      <c r="CV11" s="170"/>
      <c r="CW11" s="170"/>
      <c r="CX11" s="170"/>
      <c r="CY11" s="170"/>
      <c r="CZ11" s="170"/>
      <c r="DA11" s="170"/>
      <c r="DB11" s="170"/>
      <c r="DC11" s="170"/>
      <c r="DD11" s="170"/>
      <c r="DE11" s="170"/>
      <c r="DF11" s="170"/>
      <c r="DG11" s="170"/>
      <c r="DH11" s="170"/>
      <c r="DI11" s="170"/>
      <c r="DJ11" s="170"/>
      <c r="DK11" s="170"/>
      <c r="DL11" s="170"/>
      <c r="DM11" s="170"/>
      <c r="DN11" s="170"/>
      <c r="DO11" s="170"/>
      <c r="DP11" s="170"/>
      <c r="DQ11" s="170"/>
      <c r="DR11" s="170"/>
      <c r="DS11" s="170"/>
      <c r="DT11" s="170"/>
      <c r="DU11" s="170"/>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59"/>
      <c r="D12" s="159"/>
      <c r="E12" s="159"/>
      <c r="F12" s="169" t="s">
        <v>49</v>
      </c>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49</v>
      </c>
      <c r="BO12" s="169"/>
      <c r="BP12" s="169"/>
      <c r="BQ12" s="169"/>
      <c r="BR12" s="169"/>
      <c r="BS12" s="169"/>
      <c r="BT12" s="169"/>
      <c r="BU12" s="169"/>
      <c r="BV12" s="169"/>
      <c r="BW12" s="169"/>
      <c r="BX12" s="169"/>
      <c r="BY12" s="169"/>
      <c r="BZ12" s="169"/>
      <c r="CA12" s="169"/>
      <c r="CB12" s="169"/>
      <c r="CC12" s="169"/>
      <c r="CD12" s="169"/>
      <c r="CE12" s="169"/>
      <c r="CF12" s="169"/>
      <c r="CG12" s="169"/>
      <c r="CH12" s="169"/>
      <c r="CI12" s="169"/>
      <c r="CJ12" s="169"/>
      <c r="CK12" s="169"/>
      <c r="CL12" s="169"/>
      <c r="CM12" s="169"/>
      <c r="CN12" s="169"/>
      <c r="CO12" s="169"/>
      <c r="CP12" s="169"/>
      <c r="CQ12" s="169"/>
      <c r="CR12" s="169"/>
      <c r="CS12" s="169"/>
      <c r="CT12" s="169"/>
      <c r="CU12" s="169"/>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65" t="s">
        <v>7</v>
      </c>
      <c r="D13" s="127"/>
      <c r="E13" s="167" t="s">
        <v>45</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32</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23</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75"/>
    </row>
    <row r="14" spans="1:186" ht="12.75" customHeight="1" thickBot="1" x14ac:dyDescent="0.35">
      <c r="B14" s="53"/>
      <c r="C14" s="166"/>
      <c r="D14" s="128"/>
      <c r="E14" s="168"/>
      <c r="F14" s="87"/>
      <c r="G14" s="88"/>
      <c r="H14" s="88"/>
      <c r="I14" s="88"/>
      <c r="J14" s="180" t="s">
        <v>40</v>
      </c>
      <c r="K14" s="180"/>
      <c r="L14" s="180"/>
      <c r="M14" s="180"/>
      <c r="N14" s="88"/>
      <c r="O14" s="88"/>
      <c r="P14" s="181" t="s">
        <v>28</v>
      </c>
      <c r="Q14" s="181"/>
      <c r="R14" s="181"/>
      <c r="S14" s="181"/>
      <c r="T14" s="112"/>
      <c r="U14" s="112"/>
      <c r="V14" s="180" t="s">
        <v>41</v>
      </c>
      <c r="W14" s="180"/>
      <c r="X14" s="180"/>
      <c r="Y14" s="180"/>
      <c r="Z14" s="88"/>
      <c r="AA14" s="88"/>
      <c r="AB14" s="181" t="s">
        <v>29</v>
      </c>
      <c r="AC14" s="181"/>
      <c r="AD14" s="181"/>
      <c r="AE14" s="181"/>
      <c r="AF14" s="112"/>
      <c r="AG14" s="112"/>
      <c r="AH14" s="180" t="s">
        <v>42</v>
      </c>
      <c r="AI14" s="180"/>
      <c r="AJ14" s="180"/>
      <c r="AK14" s="180"/>
      <c r="AL14" s="88"/>
      <c r="AM14" s="88"/>
      <c r="AN14" s="181" t="s">
        <v>30</v>
      </c>
      <c r="AO14" s="181"/>
      <c r="AP14" s="181"/>
      <c r="AQ14" s="181"/>
      <c r="AR14" s="112"/>
      <c r="AS14" s="112"/>
      <c r="AT14" s="180" t="s">
        <v>43</v>
      </c>
      <c r="AU14" s="180"/>
      <c r="AV14" s="180"/>
      <c r="AW14" s="180"/>
      <c r="AX14" s="88"/>
      <c r="AY14" s="88"/>
      <c r="AZ14" s="181" t="s">
        <v>31</v>
      </c>
      <c r="BA14" s="181"/>
      <c r="BB14" s="181"/>
      <c r="BC14" s="181"/>
      <c r="BD14" s="112"/>
      <c r="BE14" s="112"/>
      <c r="BF14" s="180" t="s">
        <v>44</v>
      </c>
      <c r="BG14" s="180"/>
      <c r="BH14" s="180"/>
      <c r="BI14" s="180"/>
      <c r="BJ14" s="88"/>
      <c r="BK14" s="88"/>
      <c r="BL14" s="88"/>
      <c r="BM14" s="89"/>
      <c r="BN14" s="87"/>
      <c r="BO14" s="88"/>
      <c r="BP14" s="88"/>
      <c r="BQ14" s="88"/>
      <c r="BR14" s="180" t="s">
        <v>40</v>
      </c>
      <c r="BS14" s="180"/>
      <c r="BT14" s="180"/>
      <c r="BU14" s="180"/>
      <c r="BV14" s="88"/>
      <c r="BW14" s="88"/>
      <c r="BX14" s="181" t="s">
        <v>28</v>
      </c>
      <c r="BY14" s="181"/>
      <c r="BZ14" s="181"/>
      <c r="CA14" s="181"/>
      <c r="CB14" s="112"/>
      <c r="CC14" s="112"/>
      <c r="CD14" s="180" t="s">
        <v>41</v>
      </c>
      <c r="CE14" s="180"/>
      <c r="CF14" s="180"/>
      <c r="CG14" s="180"/>
      <c r="CH14" s="88"/>
      <c r="CI14" s="88"/>
      <c r="CJ14" s="181" t="s">
        <v>29</v>
      </c>
      <c r="CK14" s="181"/>
      <c r="CL14" s="181"/>
      <c r="CM14" s="181"/>
      <c r="CN14" s="112"/>
      <c r="CO14" s="112"/>
      <c r="CP14" s="180" t="s">
        <v>42</v>
      </c>
      <c r="CQ14" s="180"/>
      <c r="CR14" s="180"/>
      <c r="CS14" s="180"/>
      <c r="CT14" s="88"/>
      <c r="CU14" s="88"/>
      <c r="CV14" s="181" t="s">
        <v>30</v>
      </c>
      <c r="CW14" s="181"/>
      <c r="CX14" s="181"/>
      <c r="CY14" s="181"/>
      <c r="CZ14" s="112"/>
      <c r="DA14" s="112"/>
      <c r="DB14" s="180" t="s">
        <v>43</v>
      </c>
      <c r="DC14" s="180"/>
      <c r="DD14" s="180"/>
      <c r="DE14" s="180"/>
      <c r="DF14" s="88"/>
      <c r="DG14" s="88"/>
      <c r="DH14" s="181" t="s">
        <v>31</v>
      </c>
      <c r="DI14" s="181"/>
      <c r="DJ14" s="181"/>
      <c r="DK14" s="181"/>
      <c r="DL14" s="112"/>
      <c r="DM14" s="112"/>
      <c r="DN14" s="180" t="s">
        <v>44</v>
      </c>
      <c r="DO14" s="180"/>
      <c r="DP14" s="180"/>
      <c r="DQ14" s="180"/>
      <c r="DR14" s="88"/>
      <c r="DS14" s="88"/>
      <c r="DT14" s="88"/>
      <c r="DU14" s="89"/>
      <c r="DV14" s="87"/>
      <c r="DW14" s="88"/>
      <c r="DX14" s="88"/>
      <c r="DY14" s="88"/>
      <c r="DZ14" s="180" t="s">
        <v>40</v>
      </c>
      <c r="EA14" s="180"/>
      <c r="EB14" s="180"/>
      <c r="EC14" s="180"/>
      <c r="ED14" s="88"/>
      <c r="EE14" s="88"/>
      <c r="EF14" s="181" t="s">
        <v>28</v>
      </c>
      <c r="EG14" s="181"/>
      <c r="EH14" s="181"/>
      <c r="EI14" s="181"/>
      <c r="EJ14" s="112"/>
      <c r="EK14" s="112"/>
      <c r="EL14" s="180" t="s">
        <v>41</v>
      </c>
      <c r="EM14" s="180"/>
      <c r="EN14" s="180"/>
      <c r="EO14" s="180"/>
      <c r="EP14" s="88"/>
      <c r="EQ14" s="88"/>
      <c r="ER14" s="181" t="s">
        <v>29</v>
      </c>
      <c r="ES14" s="181"/>
      <c r="ET14" s="181"/>
      <c r="EU14" s="181"/>
      <c r="EV14" s="112"/>
      <c r="EW14" s="112"/>
      <c r="EX14" s="180" t="s">
        <v>42</v>
      </c>
      <c r="EY14" s="180"/>
      <c r="EZ14" s="180"/>
      <c r="FA14" s="180"/>
      <c r="FB14" s="88"/>
      <c r="FC14" s="88"/>
      <c r="FD14" s="181" t="s">
        <v>30</v>
      </c>
      <c r="FE14" s="181"/>
      <c r="FF14" s="181"/>
      <c r="FG14" s="181"/>
      <c r="FH14" s="112"/>
      <c r="FI14" s="112"/>
      <c r="FJ14" s="180" t="s">
        <v>43</v>
      </c>
      <c r="FK14" s="180"/>
      <c r="FL14" s="180"/>
      <c r="FM14" s="180"/>
      <c r="FN14" s="88"/>
      <c r="FO14" s="88"/>
      <c r="FP14" s="181" t="s">
        <v>31</v>
      </c>
      <c r="FQ14" s="181"/>
      <c r="FR14" s="181"/>
      <c r="FS14" s="181"/>
      <c r="FT14" s="112"/>
      <c r="FU14" s="112"/>
      <c r="FV14" s="180" t="s">
        <v>44</v>
      </c>
      <c r="FW14" s="180"/>
      <c r="FX14" s="180"/>
      <c r="FY14" s="180"/>
      <c r="FZ14" s="88"/>
      <c r="GA14" s="88"/>
      <c r="GB14" s="88"/>
      <c r="GC14" s="89"/>
      <c r="GD14" s="75"/>
    </row>
    <row r="15" spans="1:186" ht="20.100000000000001" customHeight="1" x14ac:dyDescent="0.25">
      <c r="A15" s="84" t="s">
        <v>24</v>
      </c>
      <c r="B15" s="53" t="str">
        <f>IF(LEN(C15)=0,"",C15)</f>
        <v xml:space="preserve">Absences - imprévus </v>
      </c>
      <c r="C15" s="16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3"/>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2"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3"/>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2"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4"/>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2"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4"/>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2"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4"/>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2"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3"/>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2"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3"/>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2"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3"/>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2"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3"/>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2"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3"/>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2"/>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4"/>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2"/>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3"/>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2"/>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4"/>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3"/>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3"/>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3"/>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3"/>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3"/>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4"/>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3"/>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3"/>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4"/>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3"/>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3"/>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4"/>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3"/>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4"/>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3"/>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3"/>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3"/>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3"/>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3"/>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4"/>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3"/>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3"/>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4"/>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86" t="s">
        <v>9</v>
      </c>
      <c r="D95" s="18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8"/>
      <c r="D96" s="18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82" t="s">
        <v>10</v>
      </c>
      <c r="D97" s="183"/>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84"/>
      <c r="D98" s="185"/>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E1" sqref="E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56"/>
  <sheetViews>
    <sheetView showGridLines="0" tabSelected="1" zoomScaleNormal="100" zoomScaleSheetLayoutView="98" workbookViewId="0">
      <pane ySplit="1" topLeftCell="A2" activePane="bottomLeft" state="frozen"/>
      <selection pane="bottomLeft" activeCell="D84" sqref="D8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47.42578125" style="51" customWidth="1"/>
    <col min="7" max="16384" width="11.42578125" style="51"/>
  </cols>
  <sheetData>
    <row r="1" spans="1:7" ht="49.9" customHeight="1" thickBot="1" x14ac:dyDescent="0.35"/>
    <row r="2" spans="1:7" s="40" customFormat="1" ht="30" customHeight="1" thickBot="1" x14ac:dyDescent="0.3">
      <c r="A2" s="139" t="s">
        <v>16</v>
      </c>
      <c r="B2" s="147">
        <v>6</v>
      </c>
      <c r="C2" s="147"/>
      <c r="D2" s="140" t="s">
        <v>19</v>
      </c>
      <c r="E2" s="141">
        <v>45569</v>
      </c>
      <c r="F2" s="142"/>
      <c r="G2" s="39"/>
    </row>
    <row r="3" spans="1:7" s="40" customFormat="1" ht="30" customHeight="1" thickBot="1" x14ac:dyDescent="0.3">
      <c r="A3" s="63" t="s">
        <v>5</v>
      </c>
      <c r="B3" s="144" t="s">
        <v>46</v>
      </c>
      <c r="C3" s="143"/>
      <c r="D3" s="63" t="s">
        <v>17</v>
      </c>
      <c r="E3" s="196" t="s">
        <v>18</v>
      </c>
      <c r="F3" s="197"/>
      <c r="G3" s="39"/>
    </row>
    <row r="4" spans="1:7" s="44" customFormat="1" ht="27" x14ac:dyDescent="0.3">
      <c r="A4" s="41"/>
      <c r="B4" s="42">
        <v>2</v>
      </c>
      <c r="C4" s="135" t="str">
        <f xml:space="preserve"> IF(B4="","",setValueToTime(B4))</f>
        <v>0h10min</v>
      </c>
      <c r="D4" s="43" t="s">
        <v>88</v>
      </c>
      <c r="E4" s="198"/>
      <c r="F4" s="199"/>
      <c r="G4" s="3"/>
    </row>
    <row r="5" spans="1:7" s="44" customFormat="1" x14ac:dyDescent="0.3">
      <c r="A5" s="45"/>
      <c r="B5" s="46">
        <v>2</v>
      </c>
      <c r="C5" s="136" t="str">
        <f t="shared" ref="C5:C11" si="0" xml:space="preserve"> IF(B5="","",setValueToTime(B5))</f>
        <v>0h10min</v>
      </c>
      <c r="D5" s="47" t="s">
        <v>89</v>
      </c>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4</v>
      </c>
      <c r="C12" s="145" t="str">
        <f xml:space="preserve"> setValueToTime(B12)</f>
        <v>0h20min</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5</v>
      </c>
      <c r="C14" s="147"/>
      <c r="D14" s="140" t="s">
        <v>19</v>
      </c>
      <c r="E14" s="141">
        <v>45562</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c r="B16" s="42">
        <v>3</v>
      </c>
      <c r="C16" s="135" t="str">
        <f xml:space="preserve"> IF(B16="","",setValueToTime(B16))</f>
        <v>0h15min</v>
      </c>
      <c r="D16" s="43" t="s">
        <v>87</v>
      </c>
      <c r="E16" s="198"/>
      <c r="F16" s="199"/>
      <c r="G16" s="3"/>
    </row>
    <row r="17" spans="1:7" s="44" customFormat="1" ht="27" x14ac:dyDescent="0.3">
      <c r="A17" s="45"/>
      <c r="B17" s="46">
        <v>8</v>
      </c>
      <c r="C17" s="136" t="str">
        <f t="shared" ref="C17:C23" si="1" xml:space="preserve"> IF(B17="","",setValueToTime(B17))</f>
        <v>0h40min</v>
      </c>
      <c r="D17" s="47" t="s">
        <v>86</v>
      </c>
      <c r="E17" s="190"/>
      <c r="F17" s="191"/>
      <c r="G17" s="3"/>
    </row>
    <row r="18" spans="1:7" s="44" customFormat="1" x14ac:dyDescent="0.3">
      <c r="A18" s="45"/>
      <c r="B18" s="46">
        <v>5</v>
      </c>
      <c r="C18" s="136" t="str">
        <f t="shared" si="1"/>
        <v>0h25min</v>
      </c>
      <c r="D18" s="47" t="s">
        <v>85</v>
      </c>
      <c r="E18" s="190"/>
      <c r="F18" s="191"/>
      <c r="G18" s="3"/>
    </row>
    <row r="19" spans="1:7" s="44" customFormat="1" x14ac:dyDescent="0.3">
      <c r="A19" s="45"/>
      <c r="B19" s="46">
        <v>6</v>
      </c>
      <c r="C19" s="136" t="str">
        <f t="shared" si="1"/>
        <v>0h30min</v>
      </c>
      <c r="D19" s="47" t="s">
        <v>82</v>
      </c>
      <c r="E19" s="190"/>
      <c r="F19" s="191"/>
      <c r="G19" s="3"/>
    </row>
    <row r="20" spans="1:7" s="44" customFormat="1" ht="54" x14ac:dyDescent="0.3">
      <c r="A20" s="46"/>
      <c r="B20" s="46">
        <v>14</v>
      </c>
      <c r="C20" s="137" t="str">
        <f t="shared" si="1"/>
        <v>1h10min</v>
      </c>
      <c r="D20" s="47" t="s">
        <v>83</v>
      </c>
      <c r="E20" s="190" t="s">
        <v>84</v>
      </c>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36</v>
      </c>
      <c r="C24" s="145" t="str">
        <f xml:space="preserve"> setValueToTime(B24)</f>
        <v>3h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4</v>
      </c>
      <c r="C26" s="147"/>
      <c r="D26" s="140" t="s">
        <v>19</v>
      </c>
      <c r="E26" s="141">
        <v>45555</v>
      </c>
      <c r="F26" s="142"/>
      <c r="G26" s="39"/>
    </row>
    <row r="27" spans="1:7" s="40" customFormat="1" ht="30" customHeight="1" thickBot="1" x14ac:dyDescent="0.3">
      <c r="A27" s="63" t="s">
        <v>5</v>
      </c>
      <c r="B27" s="144" t="s">
        <v>46</v>
      </c>
      <c r="C27" s="143"/>
      <c r="D27" s="63" t="s">
        <v>17</v>
      </c>
      <c r="E27" s="196" t="s">
        <v>18</v>
      </c>
      <c r="F27" s="197"/>
      <c r="G27" s="39"/>
    </row>
    <row r="28" spans="1:7" s="44" customFormat="1" ht="67.5" x14ac:dyDescent="0.3">
      <c r="A28" s="41" t="s">
        <v>54</v>
      </c>
      <c r="B28" s="42">
        <v>12</v>
      </c>
      <c r="C28" s="135" t="str">
        <f xml:space="preserve"> IF(B28="","",setValueToTime(B28))</f>
        <v>1h</v>
      </c>
      <c r="D28" s="43" t="s">
        <v>72</v>
      </c>
      <c r="E28" s="198"/>
      <c r="F28" s="199"/>
      <c r="G28" s="3"/>
    </row>
    <row r="29" spans="1:7" s="44" customFormat="1" ht="27" x14ac:dyDescent="0.3">
      <c r="A29" s="45" t="s">
        <v>54</v>
      </c>
      <c r="B29" s="46">
        <v>7</v>
      </c>
      <c r="C29" s="136" t="str">
        <f t="shared" ref="C29:C35" si="2" xml:space="preserve"> IF(B29="","",setValueToTime(B29))</f>
        <v>0h35min</v>
      </c>
      <c r="D29" s="47" t="s">
        <v>79</v>
      </c>
      <c r="E29" s="190"/>
      <c r="F29" s="191"/>
      <c r="G29" s="3"/>
    </row>
    <row r="30" spans="1:7" s="44" customFormat="1" ht="27" x14ac:dyDescent="0.3">
      <c r="A30" s="45" t="s">
        <v>54</v>
      </c>
      <c r="B30" s="46">
        <v>14</v>
      </c>
      <c r="C30" s="136" t="str">
        <f t="shared" si="2"/>
        <v>1h10min</v>
      </c>
      <c r="D30" s="47" t="s">
        <v>80</v>
      </c>
      <c r="E30" s="190"/>
      <c r="F30" s="191"/>
      <c r="G30" s="3"/>
    </row>
    <row r="31" spans="1:7" s="44" customFormat="1" ht="27" x14ac:dyDescent="0.3">
      <c r="A31" s="45" t="s">
        <v>21</v>
      </c>
      <c r="B31" s="46">
        <v>3</v>
      </c>
      <c r="C31" s="136" t="str">
        <f t="shared" si="2"/>
        <v>0h15min</v>
      </c>
      <c r="D31" s="47" t="s">
        <v>81</v>
      </c>
      <c r="E31" s="190"/>
      <c r="F31" s="191"/>
      <c r="G31" s="3"/>
    </row>
    <row r="32" spans="1:7" s="44" customFormat="1" x14ac:dyDescent="0.3">
      <c r="A32" s="46"/>
      <c r="B32" s="46"/>
      <c r="C32" s="137" t="str">
        <f t="shared" si="2"/>
        <v/>
      </c>
      <c r="D32" s="47"/>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16</v>
      </c>
      <c r="B38" s="147">
        <v>3</v>
      </c>
      <c r="C38" s="147"/>
      <c r="D38" s="140" t="s">
        <v>19</v>
      </c>
      <c r="E38" s="141">
        <v>45548</v>
      </c>
      <c r="F38" s="142"/>
      <c r="G38" s="39"/>
    </row>
    <row r="39" spans="1:7" s="40" customFormat="1" ht="30" customHeight="1" thickBot="1" x14ac:dyDescent="0.3">
      <c r="A39" s="63" t="s">
        <v>5</v>
      </c>
      <c r="B39" s="144" t="s">
        <v>46</v>
      </c>
      <c r="C39" s="143"/>
      <c r="D39" s="63" t="s">
        <v>17</v>
      </c>
      <c r="E39" s="196" t="s">
        <v>18</v>
      </c>
      <c r="F39" s="197"/>
      <c r="G39" s="39"/>
    </row>
    <row r="40" spans="1:7" s="44" customFormat="1" x14ac:dyDescent="0.3">
      <c r="A40" s="41"/>
      <c r="B40" s="42">
        <v>3</v>
      </c>
      <c r="C40" s="135" t="str">
        <f xml:space="preserve"> IF(B40="","",setValueToTime(B40))</f>
        <v>0h15min</v>
      </c>
      <c r="D40" s="43" t="s">
        <v>73</v>
      </c>
      <c r="E40" s="198"/>
      <c r="F40" s="199"/>
      <c r="G40" s="3"/>
    </row>
    <row r="41" spans="1:7" s="44" customFormat="1" x14ac:dyDescent="0.3">
      <c r="A41" s="45"/>
      <c r="B41" s="46">
        <v>5</v>
      </c>
      <c r="C41" s="136" t="str">
        <f t="shared" ref="C41:C47" si="3" xml:space="preserve"> IF(B41="","",setValueToTime(B41))</f>
        <v>0h25min</v>
      </c>
      <c r="D41" s="47" t="s">
        <v>74</v>
      </c>
      <c r="E41" s="190"/>
      <c r="F41" s="191"/>
      <c r="G41" s="3"/>
    </row>
    <row r="42" spans="1:7" s="44" customFormat="1" ht="78" customHeight="1" x14ac:dyDescent="0.3">
      <c r="A42" s="45"/>
      <c r="B42" s="46">
        <v>14</v>
      </c>
      <c r="C42" s="136" t="str">
        <f t="shared" si="3"/>
        <v>1h10min</v>
      </c>
      <c r="D42" s="47" t="s">
        <v>76</v>
      </c>
      <c r="E42" s="190" t="s">
        <v>75</v>
      </c>
      <c r="F42" s="191"/>
      <c r="G42" s="3"/>
    </row>
    <row r="43" spans="1:7" s="44" customFormat="1" ht="27" x14ac:dyDescent="0.3">
      <c r="A43" s="45"/>
      <c r="B43" s="46">
        <v>5</v>
      </c>
      <c r="C43" s="136" t="str">
        <f t="shared" si="3"/>
        <v>0h25min</v>
      </c>
      <c r="D43" s="47" t="s">
        <v>77</v>
      </c>
      <c r="E43" s="190"/>
      <c r="F43" s="191"/>
      <c r="G43" s="3"/>
    </row>
    <row r="44" spans="1:7" s="44" customFormat="1" ht="27" x14ac:dyDescent="0.3">
      <c r="A44" s="46"/>
      <c r="B44" s="46">
        <v>9</v>
      </c>
      <c r="C44" s="137" t="str">
        <f t="shared" si="3"/>
        <v>0h45min</v>
      </c>
      <c r="D44" s="47" t="s">
        <v>78</v>
      </c>
      <c r="E44" s="190"/>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33</v>
      </c>
      <c r="B48" s="68">
        <f>SUM(B40:B47)</f>
        <v>36</v>
      </c>
      <c r="C48" s="145" t="str">
        <f xml:space="preserve"> setValueToTime(B48)</f>
        <v>3h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16</v>
      </c>
      <c r="B50" s="147">
        <v>2</v>
      </c>
      <c r="C50" s="147"/>
      <c r="D50" s="140" t="s">
        <v>19</v>
      </c>
      <c r="E50" s="141">
        <v>45541</v>
      </c>
      <c r="F50" s="142"/>
      <c r="G50" s="39"/>
    </row>
    <row r="51" spans="1:7" s="40" customFormat="1" ht="30" customHeight="1" thickBot="1" x14ac:dyDescent="0.3">
      <c r="A51" s="63" t="s">
        <v>5</v>
      </c>
      <c r="B51" s="144" t="s">
        <v>46</v>
      </c>
      <c r="C51" s="143"/>
      <c r="D51" s="63" t="s">
        <v>17</v>
      </c>
      <c r="E51" s="196" t="s">
        <v>18</v>
      </c>
      <c r="F51" s="197"/>
      <c r="G51" s="39"/>
    </row>
    <row r="52" spans="1:7" s="44" customFormat="1" x14ac:dyDescent="0.3">
      <c r="A52" s="41" t="s">
        <v>51</v>
      </c>
      <c r="B52" s="42">
        <v>2</v>
      </c>
      <c r="C52" s="135" t="str">
        <f xml:space="preserve"> IF(B52="","",setValueToTime(B52))</f>
        <v>0h10min</v>
      </c>
      <c r="D52" s="43" t="s">
        <v>65</v>
      </c>
      <c r="E52" s="198"/>
      <c r="F52" s="199"/>
      <c r="G52" s="3"/>
    </row>
    <row r="53" spans="1:7" s="44" customFormat="1" ht="27" x14ac:dyDescent="0.3">
      <c r="A53" s="45" t="s">
        <v>20</v>
      </c>
      <c r="B53" s="46">
        <v>8</v>
      </c>
      <c r="C53" s="136" t="str">
        <f t="shared" ref="C53:C59" si="4" xml:space="preserve"> IF(B53="","",setValueToTime(B53))</f>
        <v>0h40min</v>
      </c>
      <c r="D53" s="47" t="s">
        <v>66</v>
      </c>
      <c r="E53" s="190" t="s">
        <v>67</v>
      </c>
      <c r="F53" s="191"/>
      <c r="G53" s="3"/>
    </row>
    <row r="54" spans="1:7" s="44" customFormat="1" ht="54" x14ac:dyDescent="0.3">
      <c r="A54" s="45" t="s">
        <v>54</v>
      </c>
      <c r="B54" s="46">
        <v>14</v>
      </c>
      <c r="C54" s="136" t="str">
        <f t="shared" si="4"/>
        <v>1h10min</v>
      </c>
      <c r="D54" s="47" t="s">
        <v>68</v>
      </c>
      <c r="E54" s="190"/>
      <c r="F54" s="191"/>
      <c r="G54" s="3"/>
    </row>
    <row r="55" spans="1:7" s="44" customFormat="1" ht="54" x14ac:dyDescent="0.3">
      <c r="A55" s="45" t="s">
        <v>54</v>
      </c>
      <c r="B55" s="46">
        <v>6</v>
      </c>
      <c r="C55" s="136" t="str">
        <f t="shared" si="4"/>
        <v>0h30min</v>
      </c>
      <c r="D55" s="47" t="s">
        <v>69</v>
      </c>
      <c r="E55" s="190"/>
      <c r="F55" s="191"/>
      <c r="G55" s="3"/>
    </row>
    <row r="56" spans="1:7" s="44" customFormat="1" x14ac:dyDescent="0.3">
      <c r="A56" s="46"/>
      <c r="B56" s="46">
        <v>3</v>
      </c>
      <c r="C56" s="137" t="str">
        <f t="shared" si="4"/>
        <v>0h15min</v>
      </c>
      <c r="D56" s="47" t="s">
        <v>71</v>
      </c>
      <c r="E56" s="190"/>
      <c r="F56" s="191"/>
      <c r="G56" s="3"/>
    </row>
    <row r="57" spans="1:7" s="44" customFormat="1" x14ac:dyDescent="0.3">
      <c r="A57" s="46"/>
      <c r="B57" s="46">
        <v>3</v>
      </c>
      <c r="C57" s="137" t="str">
        <f t="shared" si="4"/>
        <v>0h15min</v>
      </c>
      <c r="D57" s="47" t="s">
        <v>70</v>
      </c>
      <c r="E57" s="190"/>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33</v>
      </c>
      <c r="B60" s="68">
        <f>SUM(B52:B59)</f>
        <v>36</v>
      </c>
      <c r="C60" s="145" t="str">
        <f xml:space="preserve"> setValueToTime(B60)</f>
        <v>3h</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16</v>
      </c>
      <c r="B62" s="147">
        <v>1</v>
      </c>
      <c r="C62" s="147"/>
      <c r="D62" s="140" t="s">
        <v>19</v>
      </c>
      <c r="E62" s="141">
        <v>45534</v>
      </c>
      <c r="F62" s="142"/>
      <c r="G62" s="39"/>
    </row>
    <row r="63" spans="1:7" s="40" customFormat="1" ht="30" customHeight="1" thickBot="1" x14ac:dyDescent="0.3">
      <c r="A63" s="63" t="s">
        <v>5</v>
      </c>
      <c r="B63" s="144" t="s">
        <v>46</v>
      </c>
      <c r="C63" s="143"/>
      <c r="D63" s="63" t="s">
        <v>17</v>
      </c>
      <c r="E63" s="196" t="s">
        <v>18</v>
      </c>
      <c r="F63" s="197"/>
      <c r="G63" s="39"/>
    </row>
    <row r="64" spans="1:7" s="44" customFormat="1" x14ac:dyDescent="0.3">
      <c r="A64" s="41" t="s">
        <v>51</v>
      </c>
      <c r="B64" s="42">
        <v>15</v>
      </c>
      <c r="C64" s="135" t="str">
        <f xml:space="preserve"> IF(B64="","",setValueToTime(B64))</f>
        <v>1h15min</v>
      </c>
      <c r="D64" s="43" t="s">
        <v>57</v>
      </c>
      <c r="E64" s="198"/>
      <c r="F64" s="199"/>
      <c r="G64" s="3"/>
    </row>
    <row r="65" spans="1:7" s="44" customFormat="1" ht="69" customHeight="1" x14ac:dyDescent="0.3">
      <c r="A65" s="45" t="s">
        <v>53</v>
      </c>
      <c r="B65" s="46">
        <v>9</v>
      </c>
      <c r="C65" s="136" t="str">
        <f t="shared" ref="C65:C71" si="5" xml:space="preserve"> IF(B65="","",setValueToTime(B65))</f>
        <v>0h45min</v>
      </c>
      <c r="D65" s="47" t="s">
        <v>58</v>
      </c>
      <c r="E65" s="190" t="s">
        <v>59</v>
      </c>
      <c r="F65" s="191"/>
      <c r="G65" s="3"/>
    </row>
    <row r="66" spans="1:7" s="44" customFormat="1" ht="40.5" x14ac:dyDescent="0.3">
      <c r="A66" s="45" t="s">
        <v>50</v>
      </c>
      <c r="B66" s="46">
        <v>4</v>
      </c>
      <c r="C66" s="136" t="str">
        <f t="shared" si="5"/>
        <v>0h20min</v>
      </c>
      <c r="D66" s="47" t="s">
        <v>60</v>
      </c>
      <c r="E66" s="190" t="s">
        <v>61</v>
      </c>
      <c r="F66" s="191"/>
      <c r="G66" s="3"/>
    </row>
    <row r="67" spans="1:7" s="44" customFormat="1" ht="27" x14ac:dyDescent="0.3">
      <c r="A67" s="45" t="s">
        <v>54</v>
      </c>
      <c r="B67" s="46">
        <v>7</v>
      </c>
      <c r="C67" s="136" t="str">
        <f t="shared" si="5"/>
        <v>0h35min</v>
      </c>
      <c r="D67" s="47" t="s">
        <v>62</v>
      </c>
      <c r="E67" s="190" t="s">
        <v>63</v>
      </c>
      <c r="F67" s="191"/>
      <c r="G67" s="3"/>
    </row>
    <row r="68" spans="1:7" s="44" customFormat="1" ht="27" x14ac:dyDescent="0.3">
      <c r="A68" s="46" t="s">
        <v>21</v>
      </c>
      <c r="B68" s="46">
        <v>1</v>
      </c>
      <c r="C68" s="137" t="str">
        <f t="shared" si="5"/>
        <v>0h5min</v>
      </c>
      <c r="D68" s="47" t="s">
        <v>64</v>
      </c>
      <c r="E68" s="190"/>
      <c r="F68" s="191"/>
      <c r="G68" s="3"/>
    </row>
    <row r="69" spans="1:7" s="44" customFormat="1" x14ac:dyDescent="0.3">
      <c r="A69" s="46"/>
      <c r="B69" s="46"/>
      <c r="C69" s="137" t="str">
        <f t="shared" si="5"/>
        <v/>
      </c>
      <c r="D69" s="47"/>
      <c r="E69" s="190"/>
      <c r="F69" s="191"/>
      <c r="G69" s="3"/>
    </row>
    <row r="70" spans="1:7" s="44" customFormat="1" x14ac:dyDescent="0.3">
      <c r="A70" s="46"/>
      <c r="B70" s="46"/>
      <c r="C70" s="137" t="str">
        <f t="shared" si="5"/>
        <v/>
      </c>
      <c r="D70" s="47"/>
      <c r="E70" s="190"/>
      <c r="F70" s="191"/>
      <c r="G70" s="3"/>
    </row>
    <row r="71" spans="1:7" s="44" customFormat="1" ht="15" thickBot="1" x14ac:dyDescent="0.35">
      <c r="A71" s="48"/>
      <c r="B71" s="48"/>
      <c r="C71" s="138" t="str">
        <f t="shared" si="5"/>
        <v/>
      </c>
      <c r="D71" s="49"/>
      <c r="E71" s="192"/>
      <c r="F71" s="193"/>
      <c r="G71" s="3"/>
    </row>
    <row r="72" spans="1:7" s="44" customFormat="1" ht="15" thickBot="1" x14ac:dyDescent="0.35">
      <c r="A72" s="145" t="s">
        <v>33</v>
      </c>
      <c r="B72" s="68">
        <f>SUM(B64:B71)</f>
        <v>36</v>
      </c>
      <c r="C72" s="145" t="str">
        <f xml:space="preserve"> setValueToTime(B72)</f>
        <v>3h</v>
      </c>
      <c r="D72" s="105"/>
      <c r="E72" s="194"/>
      <c r="F72" s="195"/>
      <c r="G72" s="3"/>
    </row>
    <row r="73" spans="1:7" s="44" customFormat="1" x14ac:dyDescent="0.3">
      <c r="A73" s="62"/>
      <c r="B73" s="62"/>
      <c r="C73" s="62"/>
      <c r="D73" s="62"/>
      <c r="E73" s="62"/>
      <c r="F73" s="62"/>
      <c r="G73" s="3"/>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row r="145" spans="1:7" s="44" customFormat="1" x14ac:dyDescent="0.3">
      <c r="A145" s="50"/>
      <c r="B145" s="50"/>
      <c r="C145" s="50"/>
      <c r="D145" s="50"/>
      <c r="E145" s="109"/>
      <c r="F145" s="51"/>
      <c r="G145" s="51"/>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sheetData>
  <sheetProtection formatRows="0" insertRows="0" insertHyperlinks="0" deleteRows="0" selectLockedCells="1"/>
  <mergeCells count="6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xr:uid="{7CDEA4A1-A61A-4E4E-9855-2D8829DDECDA}">
      <formula1>0</formula1>
      <formula2>60</formula2>
    </dataValidation>
    <dataValidation type="list" allowBlank="1" showInputMessage="1" showErrorMessage="1" sqref="A64:A71 A52:A59 A40:A47 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3"/>
      <c r="B10" s="173"/>
      <c r="C10" s="173"/>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73"/>
      <c r="BG10" s="173"/>
      <c r="BH10" s="173"/>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16</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40</v>
      </c>
      <c r="F14" s="180"/>
      <c r="G14" s="180"/>
      <c r="H14" s="180"/>
      <c r="I14" s="88"/>
      <c r="J14" s="88"/>
      <c r="K14" s="181" t="s">
        <v>28</v>
      </c>
      <c r="L14" s="181"/>
      <c r="M14" s="181"/>
      <c r="N14" s="181"/>
      <c r="O14" s="112"/>
      <c r="P14" s="112"/>
      <c r="Q14" s="180" t="s">
        <v>41</v>
      </c>
      <c r="R14" s="180"/>
      <c r="S14" s="180"/>
      <c r="T14" s="180"/>
      <c r="U14" s="88"/>
      <c r="V14" s="88"/>
      <c r="W14" s="181" t="s">
        <v>29</v>
      </c>
      <c r="X14" s="181"/>
      <c r="Y14" s="181"/>
      <c r="Z14" s="181"/>
      <c r="AA14" s="112"/>
      <c r="AB14" s="112"/>
      <c r="AC14" s="180" t="s">
        <v>42</v>
      </c>
      <c r="AD14" s="180"/>
      <c r="AE14" s="180"/>
      <c r="AF14" s="180"/>
      <c r="AG14" s="88"/>
      <c r="AH14" s="88"/>
      <c r="AI14" s="181" t="s">
        <v>30</v>
      </c>
      <c r="AJ14" s="181"/>
      <c r="AK14" s="181"/>
      <c r="AL14" s="181"/>
      <c r="AM14" s="112"/>
      <c r="AN14" s="112"/>
      <c r="AO14" s="180" t="s">
        <v>43</v>
      </c>
      <c r="AP14" s="180"/>
      <c r="AQ14" s="180"/>
      <c r="AR14" s="180"/>
      <c r="AS14" s="88"/>
      <c r="AT14" s="88"/>
      <c r="AU14" s="181" t="s">
        <v>31</v>
      </c>
      <c r="AV14" s="181"/>
      <c r="AW14" s="181"/>
      <c r="AX14" s="181"/>
      <c r="AY14" s="112"/>
      <c r="AZ14" s="112"/>
      <c r="BA14" s="180" t="s">
        <v>44</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0" t="s">
        <v>18</v>
      </c>
      <c r="F2" s="201"/>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2"/>
      <c r="F11" s="20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5E06A3B2-3E14-4C60-83A5-09EAA470793D}">
  <ds:schemaRefs>
    <ds:schemaRef ds:uri="http://schemas.microsoft.com/sharepoint/v3/contenttype/forms"/>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2024-10-04T11:58:27Z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