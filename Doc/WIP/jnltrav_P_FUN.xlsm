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61qgw\Documents\GitHub\P_Fun\Doc\WIP\"/>
    </mc:Choice>
  </mc:AlternateContent>
  <xr:revisionPtr revIDLastSave="0" documentId="13_ncr:1_{8112F84E-D3B1-4CBE-827F-00B4A4C433A7}" xr6:coauthVersionLast="47" xr6:coauthVersionMax="47" xr10:uidLastSave="{00000000-0000-0000-0000-000000000000}"/>
  <bookViews>
    <workbookView xWindow="1950" yWindow="195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B24" i="12"/>
  <c r="C23" i="12"/>
  <c r="C22" i="12"/>
  <c r="C21" i="12"/>
  <c r="B36" i="12"/>
  <c r="C35" i="12"/>
  <c r="C34" i="12"/>
  <c r="B48" i="12"/>
  <c r="C47" i="12"/>
  <c r="C46" i="12"/>
  <c r="C45" i="12"/>
  <c r="C7" i="12"/>
  <c r="C5" i="12"/>
  <c r="C20" i="12"/>
  <c r="C19" i="12"/>
  <c r="C18" i="12"/>
  <c r="C17" i="12"/>
  <c r="C16" i="12"/>
  <c r="C4" i="12"/>
  <c r="C30" i="12"/>
  <c r="C32" i="12"/>
  <c r="C31" i="12"/>
  <c r="C36" i="12"/>
  <c r="C29" i="12"/>
  <c r="C28" i="12"/>
  <c r="C24" i="12"/>
  <c r="C42" i="12"/>
  <c r="C44" i="12"/>
  <c r="C43" i="12"/>
  <c r="C41" i="12"/>
  <c r="C40" i="12"/>
  <c r="C33" i="12"/>
  <c r="C48" i="12"/>
  <c r="C12" i="12"/>
  <c r="C6" i="12"/>
  <c r="C10" i="15" l="1"/>
  <c r="C9" i="15"/>
  <c r="C8" i="15"/>
  <c r="C7" i="15"/>
  <c r="C6" i="15"/>
  <c r="C5" i="15"/>
  <c r="C4" i="15"/>
  <c r="C3" i="15"/>
  <c r="B11" i="15"/>
  <c r="C10" i="16"/>
  <c r="C9" i="16"/>
  <c r="C8" i="16"/>
  <c r="C7" i="16"/>
  <c r="C6" i="16"/>
  <c r="C5" i="16"/>
  <c r="C4" i="16"/>
  <c r="C3" i="16"/>
  <c r="B11" i="16"/>
  <c r="D50" i="1"/>
  <c r="D76" i="1"/>
  <c r="D38" i="1"/>
  <c r="D77" i="1"/>
  <c r="D39" i="1"/>
  <c r="D69" i="1"/>
  <c r="C11" i="15"/>
  <c r="D89" i="1"/>
  <c r="D94" i="1"/>
  <c r="D72" i="1"/>
  <c r="C11" i="16"/>
  <c r="D59" i="1"/>
  <c r="D18" i="1"/>
  <c r="D44" i="1"/>
  <c r="D83" i="1"/>
  <c r="D45" i="1"/>
  <c r="D88" i="1"/>
  <c r="D51" i="1"/>
  <c r="D56" i="1"/>
  <c r="D37" i="1"/>
  <c r="D63" i="1"/>
  <c r="D57" i="1"/>
  <c r="D19" i="1"/>
  <c r="D62" i="1"/>
  <c r="D24" i="1"/>
  <c r="D67" i="1"/>
  <c r="D16" i="1"/>
  <c r="D92" i="1"/>
  <c r="D34" i="1"/>
  <c r="D78" i="1"/>
  <c r="D41" i="1"/>
  <c r="D46" i="1"/>
  <c r="D65" i="1"/>
  <c r="D53" i="1"/>
  <c r="D33" i="1"/>
  <c r="D21" i="1"/>
  <c r="D26" i="1"/>
  <c r="D82" i="1"/>
  <c r="D70" i="1"/>
  <c r="D71" i="1"/>
  <c r="D86" i="1"/>
  <c r="D31" i="1"/>
  <c r="D25" i="1"/>
  <c r="D68" i="1"/>
  <c r="D30" i="1"/>
  <c r="D74" i="1"/>
  <c r="D75" i="1"/>
  <c r="D22" i="1"/>
  <c r="D42" i="1"/>
  <c r="D43" i="1"/>
  <c r="D49" i="1"/>
  <c r="D52" i="1"/>
  <c r="D79" i="1"/>
  <c r="D54" i="1"/>
  <c r="D80" i="1"/>
  <c r="D36" i="1"/>
  <c r="D48" i="1"/>
  <c r="D81" i="1"/>
  <c r="D87" i="1"/>
  <c r="D73" i="1"/>
  <c r="D20" i="1"/>
  <c r="D85" i="1"/>
  <c r="D90" i="1"/>
  <c r="D91" i="1"/>
  <c r="D40" i="1"/>
  <c r="D27" i="1"/>
  <c r="D58" i="1"/>
  <c r="D35" i="1"/>
  <c r="D93" i="1"/>
  <c r="D55" i="1"/>
  <c r="D17" i="1"/>
  <c r="D60" i="1"/>
  <c r="D84" i="1"/>
  <c r="D61" i="1"/>
  <c r="D23" i="1"/>
  <c r="D66" i="1"/>
  <c r="D28" i="1"/>
  <c r="D29" i="1"/>
  <c r="D32" i="1"/>
  <c r="D15" i="1"/>
  <c r="D47" i="1"/>
  <c r="D6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<sst xmlns="http://schemas.openxmlformats.org/spreadsheetml/2006/main" count="240" uniqueCount="82">
  <si>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</si>
  <si>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</si>
  <si>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</si>
  <si>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</si>
  <si>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</si>
  <si>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</si>
  <si>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</si>
  <si>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</si>
  <si>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</si>
  <si>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</si>
  <si>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</si>
  <si>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</si>
  <si>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</si>
  <si>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</si>
  <si>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</si>
  <si>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</si>
  <si>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</si>
  <si>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</si>
  <si>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</si>
  <si>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</si>
  <si>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</si>
  <si>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</si>
  <si>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</si>
  <si>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</si>
  <si>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</si>
  <si>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</si>
  <si>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</si>
  <si>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</si>
  <si>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</si>
  <si>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</si>
  <si>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</si>
  <si>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</si>
  <si>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</si>
  <si>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</si>
  <si>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</si>
  <si>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</si>
  <si>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</si>
  <si>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</si>
  <si>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</si>
  <si>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</si>
  <si>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</si>
  <si>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</si>
  <si>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</si>
  <si>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</si>
  <si>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</si>
  <si>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</si>
  <si>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</si>
  <si>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</si>
  <si>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</si>
  <si>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</si>
  <si>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</si>
  <si>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</si>
  <si>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</si>
  <si>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</si>
  <si>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</si>
  <si>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</si>
  <si>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</si>
  <si>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</si>
  <si>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de "Data set",j'ai premièrement chercher sur [1] puis je me suis rabatus sur [2] car je n'arrivait pas à trouver les données sur [1]. J'ai finallement choisit de travailler sur les cas de covid en suisse par jour durant la pandemie,avec ce "Data Set" [3]. J'ai pu récupérée les données sur ce github [4].</t>
  </si>
  <si>
    <t>[1] https://ckan.opendata.swiss/
[2] https://www.kaggle.com/
[3] https://www.kaggle.com/datasets/daenuprobst/covid19-cases-switzerland/data
[4] https://github.com/openZH/covid_19</t>
  </si>
  <si>
    <t>Création du repo Github [1] et du ice scrum [2] ainsi que la première User Story. J'ai décider de maider de l'ia pour reformuler mes test d'acceptance. J'ai aussi commencer la structure de mon projet (rapport,JDT,Feuille d'auto évaluation et arboresence du repo).</t>
  </si>
  <si>
    <t>[1]https://github.com/LucasLordon/P_Fun
[2] https://etml.icescrum.com/p/PFUNLUCASL</t>
  </si>
  <si>
    <t>Création d'une nouvelle US (). Création de l'application wpf et installation de scottplot. Essaye d'utiliser scottplot sans tuto. Début de suivit du tuto [1].</t>
  </si>
  <si>
    <t>[1] https://www.youtube.com/watch?v=IqnKoPj9zCs&amp;t=165s</t>
  </si>
  <si>
    <t>Finir le JDT et commit de mon avancement.</t>
  </si>
  <si>
    <t>introduction du jour (apris 2 courbes avec graduation différente sur un même graph)</t>
  </si>
  <si>
    <t>réaliser les maquette + demander Feed Back à Ethan et X.Carrel. Les maquttes sont présente ici [1],[2]</t>
  </si>
  <si>
    <t>[1] P_Fun\Doc\Maquettes\ScreenMap.png
[2] P_Fun\Doc\Maquettes\ScreenGraph.png</t>
  </si>
  <si>
    <t>Je suis bloquer sur un bug, scoot plot ne marche n'y sur wpf n'y sur forms. J'essaye de mettre à jour les package mais cela ne marche pas. Après de nombreuses minutes de recherches, ne trouvant pas d'aide sur les forums je demande à X.Carrel de l'aide. Il fini par trouver que .Net n'est pas à jour (version 7.4.0). La mise à jour à durée de longues minutes.</t>
  </si>
  <si>
    <t>Je redémare mon pc. Je crée un nouveau projet, et le même bug revient. Je vérifie visual studio installer et les propriété. J'averti X.Carrel après plusieur minutes de débug il a l'idée de crée le projet sur sont pc et de me l'envoier via teams et sa marche !!! Moralité il n'y a plus le bug mais nous avons pas réussi à réparer cette erreur sur ce post.</t>
  </si>
  <si>
    <t>théorie eval</t>
  </si>
  <si>
    <t>début code</t>
  </si>
  <si>
    <t>Debug le bug scottplot (10 min seule puis avec Thomas pendant 30 min). Essayer de remettre à jour Visual Studio Code, cela ne change rien. Essayer de crée le projet en WPF, WPF.Framework et GUI, cela ne marche pas. Essayer de regarder la version de l'installeur de package mais c'est la dernière. Au boût de 40 min Thomas essaye de crée un projet en Windows Forms et pas en Windows Forms WPF. Cela marche enfin.</t>
  </si>
  <si>
    <t>Je me remet à travailler quand et en démarant le projet scottPlot ne marche  plus.</t>
  </si>
  <si>
    <t>Théorie Commit GitHub de X.Carrel</t>
  </si>
  <si>
    <t>[1] https://learn.microsoft.com/fr-fr/nuget/consume-packages/package-source-mapping
[2]https://learn.microsoft.com/fr-fr/nuget/consume-packages/package-restore
[3] https://learn.microsoft.com/fr-fr/nuget/consume-packages/package-restore-troubleshooting</t>
  </si>
  <si>
    <t>J'essaye de debuguer de plein de façons différente : installer les nuget en ligne de commandes, importer scott plot en WPF, Verifier les version de mes package avec celle de joachime, doc de microsoft [1,2,3] et plein d'autres site tels que stack overflow. Discution avec X.Carrel de si oui ou non je devrait continuer mes recherche de debug ou bien passer sur du chart(Conclusion je continue en scottplot.</t>
  </si>
  <si>
    <t>Je décide de coder un peu et de prendre une pause sur la partie debug. Création d'une nouvelle méthode pour importer les data du covid pour chaque canton.</t>
  </si>
  <si>
    <t>création d'une fenêtre pour afficher les donner avec un bouton importe data qui appel la methode ci-dessu. Cela ma pris du temps car je n'avais j'amais fait ce genre d'ux/ui design.</t>
  </si>
  <si>
    <t>Déplacer le code de Projet_Fun_Chart à P_Fun_Forms. Cela ma prix beaucoup de temps en raison de bug de dépendances.</t>
  </si>
  <si>
    <t>feated a basic graph with test data and making a Mouse Data Tracker ( spread value were the cursor is on the graph )</t>
  </si>
  <si>
    <t>Remake JDT 13.09.2024 And make JDT 20.09.2024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</si>
</sst>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38</v>
      </c>
      <c r="C35" s="156"/>
      <c r="D35" s="156"/>
      <c r="E35" s="91" t="s">
        <v>47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39</v>
      </c>
      <c r="C37" s="157"/>
      <c r="D37" s="157"/>
      <c r="E37" s="93" t="s">
        <v>55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34</v>
      </c>
      <c r="E39" s="155" t="s">
        <v>56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5" zoomScale="70" zoomScaleNormal="70" zoomScaleSheetLayoutView="43" workbookViewId="0">
      <selection activeCell="E95" sqref="E9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60" t="s">
        <v>35</v>
      </c>
      <c r="D1" s="160"/>
      <c r="E1" s="16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13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61"/>
      <c r="D7" s="161"/>
      <c r="E7" s="16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15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22</v>
      </c>
      <c r="D9" s="124"/>
      <c r="E9" s="10" t="s">
        <v>26</v>
      </c>
      <c r="F9" s="11"/>
      <c r="G9" s="172" t="str">
        <f>E96</f>
        <v>0h</v>
      </c>
      <c r="H9" s="172"/>
      <c r="I9" s="172"/>
      <c r="J9" s="172"/>
      <c r="K9" s="172"/>
      <c r="L9" s="172"/>
      <c r="M9" s="172"/>
      <c r="N9" s="172"/>
      <c r="O9" s="172"/>
      <c r="P9" s="172"/>
      <c r="Q9" s="172"/>
      <c r="R9" s="172"/>
      <c r="S9" s="172"/>
      <c r="T9" s="172"/>
      <c r="U9" s="172"/>
      <c r="V9" s="103"/>
      <c r="W9" s="171" t="s">
        <v>27</v>
      </c>
      <c r="X9" s="171"/>
      <c r="Y9" s="171"/>
      <c r="Z9" s="171"/>
      <c r="AA9" s="171"/>
      <c r="AB9" s="171"/>
      <c r="AC9" s="171"/>
      <c r="AD9" s="171"/>
      <c r="AE9" s="171"/>
      <c r="AF9" s="171"/>
      <c r="AG9" s="171"/>
      <c r="AH9" s="172" t="str">
        <f>E98</f>
        <v>7h45min</v>
      </c>
      <c r="AI9" s="172"/>
      <c r="AJ9" s="172"/>
      <c r="AK9" s="172"/>
      <c r="AL9" s="172"/>
      <c r="AM9" s="172"/>
      <c r="AN9" s="172"/>
      <c r="AO9" s="172"/>
      <c r="AP9" s="172"/>
      <c r="AQ9" s="172"/>
      <c r="AR9" s="172"/>
      <c r="AS9" s="172"/>
      <c r="AT9" s="172"/>
      <c r="AU9" s="172"/>
      <c r="AV9" s="172"/>
      <c r="AW9" s="17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75"/>
    </row>
    <row r="11" spans="1:186" ht="20.100000000000001" customHeight="1" x14ac:dyDescent="0.25">
      <c r="B11" s="53"/>
      <c r="C11" s="158"/>
      <c r="D11" s="158"/>
      <c r="E11" s="158"/>
      <c r="F11" s="170" t="s">
        <v>48</v>
      </c>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t="s">
        <v>48</v>
      </c>
      <c r="BO11" s="170"/>
      <c r="BP11" s="170"/>
      <c r="BQ11" s="170"/>
      <c r="BR11" s="170"/>
      <c r="BS11" s="170"/>
      <c r="BT11" s="170"/>
      <c r="BU11" s="170"/>
      <c r="BV11" s="170"/>
      <c r="BW11" s="170"/>
      <c r="BX11" s="170"/>
      <c r="BY11" s="170"/>
      <c r="BZ11" s="170"/>
      <c r="CA11" s="170"/>
      <c r="CB11" s="170"/>
      <c r="CC11" s="170"/>
      <c r="CD11" s="170"/>
      <c r="CE11" s="170"/>
      <c r="CF11" s="170"/>
      <c r="CG11" s="170"/>
      <c r="CH11" s="170"/>
      <c r="CI11" s="170"/>
      <c r="CJ11" s="170"/>
      <c r="CK11" s="170"/>
      <c r="CL11" s="170"/>
      <c r="CM11" s="170"/>
      <c r="CN11" s="170"/>
      <c r="CO11" s="170"/>
      <c r="CP11" s="170"/>
      <c r="CQ11" s="170"/>
      <c r="CR11" s="170"/>
      <c r="CS11" s="170"/>
      <c r="CT11" s="170"/>
      <c r="CU11" s="170"/>
      <c r="CV11" s="170"/>
      <c r="CW11" s="170"/>
      <c r="CX11" s="170"/>
      <c r="CY11" s="170"/>
      <c r="CZ11" s="170"/>
      <c r="DA11" s="170"/>
      <c r="DB11" s="170"/>
      <c r="DC11" s="170"/>
      <c r="DD11" s="170"/>
      <c r="DE11" s="170"/>
      <c r="DF11" s="170"/>
      <c r="DG11" s="170"/>
      <c r="DH11" s="170"/>
      <c r="DI11" s="170"/>
      <c r="DJ11" s="170"/>
      <c r="DK11" s="170"/>
      <c r="DL11" s="170"/>
      <c r="DM11" s="170"/>
      <c r="DN11" s="170"/>
      <c r="DO11" s="170"/>
      <c r="DP11" s="170"/>
      <c r="DQ11" s="170"/>
      <c r="DR11" s="170"/>
      <c r="DS11" s="170"/>
      <c r="DT11" s="170"/>
      <c r="DU11" s="170"/>
      <c r="DV11" s="175" t="s">
        <v>48</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59"/>
      <c r="D12" s="159"/>
      <c r="E12" s="159"/>
      <c r="F12" s="169" t="s">
        <v>49</v>
      </c>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49</v>
      </c>
      <c r="BO12" s="169"/>
      <c r="BP12" s="169"/>
      <c r="BQ12" s="169"/>
      <c r="BR12" s="169"/>
      <c r="BS12" s="169"/>
      <c r="BT12" s="169"/>
      <c r="BU12" s="169"/>
      <c r="BV12" s="169"/>
      <c r="BW12" s="169"/>
      <c r="BX12" s="169"/>
      <c r="BY12" s="169"/>
      <c r="BZ12" s="169"/>
      <c r="CA12" s="169"/>
      <c r="CB12" s="169"/>
      <c r="CC12" s="169"/>
      <c r="CD12" s="169"/>
      <c r="CE12" s="169"/>
      <c r="CF12" s="169"/>
      <c r="CG12" s="169"/>
      <c r="CH12" s="169"/>
      <c r="CI12" s="169"/>
      <c r="CJ12" s="169"/>
      <c r="CK12" s="169"/>
      <c r="CL12" s="169"/>
      <c r="CM12" s="169"/>
      <c r="CN12" s="169"/>
      <c r="CO12" s="169"/>
      <c r="CP12" s="169"/>
      <c r="CQ12" s="169"/>
      <c r="CR12" s="169"/>
      <c r="CS12" s="169"/>
      <c r="CT12" s="169"/>
      <c r="CU12" s="169"/>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76" t="s">
        <v>49</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65" t="s">
        <v>7</v>
      </c>
      <c r="D13" s="127"/>
      <c r="E13" s="167" t="s">
        <v>45</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32</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23</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75"/>
    </row>
    <row r="14" spans="1:186" ht="12.75" customHeight="1" thickBot="1" x14ac:dyDescent="0.35">
      <c r="B14" s="53"/>
      <c r="C14" s="166"/>
      <c r="D14" s="128"/>
      <c r="E14" s="168"/>
      <c r="F14" s="87"/>
      <c r="G14" s="88"/>
      <c r="H14" s="88"/>
      <c r="I14" s="88"/>
      <c r="J14" s="180" t="s">
        <v>40</v>
      </c>
      <c r="K14" s="180"/>
      <c r="L14" s="180"/>
      <c r="M14" s="180"/>
      <c r="N14" s="88"/>
      <c r="O14" s="88"/>
      <c r="P14" s="181" t="s">
        <v>28</v>
      </c>
      <c r="Q14" s="181"/>
      <c r="R14" s="181"/>
      <c r="S14" s="181"/>
      <c r="T14" s="112"/>
      <c r="U14" s="112"/>
      <c r="V14" s="180" t="s">
        <v>41</v>
      </c>
      <c r="W14" s="180"/>
      <c r="X14" s="180"/>
      <c r="Y14" s="180"/>
      <c r="Z14" s="88"/>
      <c r="AA14" s="88"/>
      <c r="AB14" s="181" t="s">
        <v>29</v>
      </c>
      <c r="AC14" s="181"/>
      <c r="AD14" s="181"/>
      <c r="AE14" s="181"/>
      <c r="AF14" s="112"/>
      <c r="AG14" s="112"/>
      <c r="AH14" s="180" t="s">
        <v>42</v>
      </c>
      <c r="AI14" s="180"/>
      <c r="AJ14" s="180"/>
      <c r="AK14" s="180"/>
      <c r="AL14" s="88"/>
      <c r="AM14" s="88"/>
      <c r="AN14" s="181" t="s">
        <v>30</v>
      </c>
      <c r="AO14" s="181"/>
      <c r="AP14" s="181"/>
      <c r="AQ14" s="181"/>
      <c r="AR14" s="112"/>
      <c r="AS14" s="112"/>
      <c r="AT14" s="180" t="s">
        <v>43</v>
      </c>
      <c r="AU14" s="180"/>
      <c r="AV14" s="180"/>
      <c r="AW14" s="180"/>
      <c r="AX14" s="88"/>
      <c r="AY14" s="88"/>
      <c r="AZ14" s="181" t="s">
        <v>31</v>
      </c>
      <c r="BA14" s="181"/>
      <c r="BB14" s="181"/>
      <c r="BC14" s="181"/>
      <c r="BD14" s="112"/>
      <c r="BE14" s="112"/>
      <c r="BF14" s="180" t="s">
        <v>44</v>
      </c>
      <c r="BG14" s="180"/>
      <c r="BH14" s="180"/>
      <c r="BI14" s="180"/>
      <c r="BJ14" s="88"/>
      <c r="BK14" s="88"/>
      <c r="BL14" s="88"/>
      <c r="BM14" s="89"/>
      <c r="BN14" s="87"/>
      <c r="BO14" s="88"/>
      <c r="BP14" s="88"/>
      <c r="BQ14" s="88"/>
      <c r="BR14" s="180" t="s">
        <v>40</v>
      </c>
      <c r="BS14" s="180"/>
      <c r="BT14" s="180"/>
      <c r="BU14" s="180"/>
      <c r="BV14" s="88"/>
      <c r="BW14" s="88"/>
      <c r="BX14" s="181" t="s">
        <v>28</v>
      </c>
      <c r="BY14" s="181"/>
      <c r="BZ14" s="181"/>
      <c r="CA14" s="181"/>
      <c r="CB14" s="112"/>
      <c r="CC14" s="112"/>
      <c r="CD14" s="180" t="s">
        <v>41</v>
      </c>
      <c r="CE14" s="180"/>
      <c r="CF14" s="180"/>
      <c r="CG14" s="180"/>
      <c r="CH14" s="88"/>
      <c r="CI14" s="88"/>
      <c r="CJ14" s="181" t="s">
        <v>29</v>
      </c>
      <c r="CK14" s="181"/>
      <c r="CL14" s="181"/>
      <c r="CM14" s="181"/>
      <c r="CN14" s="112"/>
      <c r="CO14" s="112"/>
      <c r="CP14" s="180" t="s">
        <v>42</v>
      </c>
      <c r="CQ14" s="180"/>
      <c r="CR14" s="180"/>
      <c r="CS14" s="180"/>
      <c r="CT14" s="88"/>
      <c r="CU14" s="88"/>
      <c r="CV14" s="181" t="s">
        <v>30</v>
      </c>
      <c r="CW14" s="181"/>
      <c r="CX14" s="181"/>
      <c r="CY14" s="181"/>
      <c r="CZ14" s="112"/>
      <c r="DA14" s="112"/>
      <c r="DB14" s="180" t="s">
        <v>43</v>
      </c>
      <c r="DC14" s="180"/>
      <c r="DD14" s="180"/>
      <c r="DE14" s="180"/>
      <c r="DF14" s="88"/>
      <c r="DG14" s="88"/>
      <c r="DH14" s="181" t="s">
        <v>31</v>
      </c>
      <c r="DI14" s="181"/>
      <c r="DJ14" s="181"/>
      <c r="DK14" s="181"/>
      <c r="DL14" s="112"/>
      <c r="DM14" s="112"/>
      <c r="DN14" s="180" t="s">
        <v>44</v>
      </c>
      <c r="DO14" s="180"/>
      <c r="DP14" s="180"/>
      <c r="DQ14" s="180"/>
      <c r="DR14" s="88"/>
      <c r="DS14" s="88"/>
      <c r="DT14" s="88"/>
      <c r="DU14" s="89"/>
      <c r="DV14" s="87"/>
      <c r="DW14" s="88"/>
      <c r="DX14" s="88"/>
      <c r="DY14" s="88"/>
      <c r="DZ14" s="180" t="s">
        <v>40</v>
      </c>
      <c r="EA14" s="180"/>
      <c r="EB14" s="180"/>
      <c r="EC14" s="180"/>
      <c r="ED14" s="88"/>
      <c r="EE14" s="88"/>
      <c r="EF14" s="181" t="s">
        <v>28</v>
      </c>
      <c r="EG14" s="181"/>
      <c r="EH14" s="181"/>
      <c r="EI14" s="181"/>
      <c r="EJ14" s="112"/>
      <c r="EK14" s="112"/>
      <c r="EL14" s="180" t="s">
        <v>41</v>
      </c>
      <c r="EM14" s="180"/>
      <c r="EN14" s="180"/>
      <c r="EO14" s="180"/>
      <c r="EP14" s="88"/>
      <c r="EQ14" s="88"/>
      <c r="ER14" s="181" t="s">
        <v>29</v>
      </c>
      <c r="ES14" s="181"/>
      <c r="ET14" s="181"/>
      <c r="EU14" s="181"/>
      <c r="EV14" s="112"/>
      <c r="EW14" s="112"/>
      <c r="EX14" s="180" t="s">
        <v>42</v>
      </c>
      <c r="EY14" s="180"/>
      <c r="EZ14" s="180"/>
      <c r="FA14" s="180"/>
      <c r="FB14" s="88"/>
      <c r="FC14" s="88"/>
      <c r="FD14" s="181" t="s">
        <v>30</v>
      </c>
      <c r="FE14" s="181"/>
      <c r="FF14" s="181"/>
      <c r="FG14" s="181"/>
      <c r="FH14" s="112"/>
      <c r="FI14" s="112"/>
      <c r="FJ14" s="180" t="s">
        <v>43</v>
      </c>
      <c r="FK14" s="180"/>
      <c r="FL14" s="180"/>
      <c r="FM14" s="180"/>
      <c r="FN14" s="88"/>
      <c r="FO14" s="88"/>
      <c r="FP14" s="181" t="s">
        <v>31</v>
      </c>
      <c r="FQ14" s="181"/>
      <c r="FR14" s="181"/>
      <c r="FS14" s="181"/>
      <c r="FT14" s="112"/>
      <c r="FU14" s="112"/>
      <c r="FV14" s="180" t="s">
        <v>44</v>
      </c>
      <c r="FW14" s="180"/>
      <c r="FX14" s="180"/>
      <c r="FY14" s="180"/>
      <c r="FZ14" s="88"/>
      <c r="GA14" s="88"/>
      <c r="GB14" s="88"/>
      <c r="GC14" s="89"/>
      <c r="GD14" s="75"/>
    </row>
    <row r="15" spans="1:186" ht="20.100000000000001" customHeight="1" x14ac:dyDescent="0.25">
      <c r="A15" s="84" t="s">
        <v>24</v>
      </c>
      <c r="B15" s="53" t="str">
        <f>IF(LEN(C15)=0,"",C15)</f>
        <v xml:space="preserve">Absences - imprévus </v>
      </c>
      <c r="C15" s="162"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25</v>
      </c>
      <c r="B16" s="53" t="str">
        <f>IF(LEN(C17)=0,"",C17)</f>
        <v>Analyse - Planification initiale</v>
      </c>
      <c r="C16" s="163"/>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24</v>
      </c>
      <c r="B17" s="53" t="str">
        <f>IF(LEN(C19)=0,"",C19)</f>
        <v>Réalisation - Interfaces</v>
      </c>
      <c r="C17" s="162" t="s">
        <v>36</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25</v>
      </c>
      <c r="B18" s="53" t="str">
        <f>IF(LEN(C21)=0,"",C21)</f>
        <v>Doc - Journal de travail</v>
      </c>
      <c r="C18" s="163"/>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24</v>
      </c>
      <c r="B19" s="53" t="str">
        <f>IF(LEN(C23)=0,"",C23)</f>
        <v>Doc - Rapport</v>
      </c>
      <c r="C19" s="162" t="s">
        <v>37</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25</v>
      </c>
      <c r="B20" s="53" t="str">
        <f>IF(LEN(C25)=0,"",C25)</f>
        <v>Mise en place du projet</v>
      </c>
      <c r="C20" s="164"/>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24</v>
      </c>
      <c r="B21" s="53" t="str">
        <f>IF(LEN(C27)=0,"",C27)</f>
        <v>Explication</v>
      </c>
      <c r="C21" s="162" t="s">
        <v>21</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25</v>
      </c>
      <c r="B22" s="53" t="str">
        <f>IF(LEN(C29)=0,"",C29)</f>
        <v>Apprendre</v>
      </c>
      <c r="C22" s="164"/>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24</v>
      </c>
      <c r="B23" s="53" t="str">
        <f>IF(LEN(C31)=0,"",C31)</f>
        <v>Reflection logique</v>
      </c>
      <c r="C23" s="162" t="s">
        <v>20</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25</v>
      </c>
      <c r="B24" s="53" t="str">
        <f>IF(LEN(C33)=0,"",C33)</f>
        <v>Code</v>
      </c>
      <c r="C24" s="164"/>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24</v>
      </c>
      <c r="B25" s="53" t="str">
        <f>IF(LEN(C35)=0,"",C35)</f>
        <v/>
      </c>
      <c r="C25" s="162" t="s">
        <v>50</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25</v>
      </c>
      <c r="B26" s="53" t="str">
        <f>IF(LEN(C37)=0,"",C37)</f>
        <v/>
      </c>
      <c r="C26" s="163"/>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24</v>
      </c>
      <c r="B27" s="53" t="str">
        <f>IF(LEN(C39)=0,"",C39)</f>
        <v/>
      </c>
      <c r="C27" s="162" t="s">
        <v>51</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25</v>
      </c>
      <c r="B28" s="53" t="str">
        <f>IF(LEN(C41)=0,"",C41)</f>
        <v/>
      </c>
      <c r="C28" s="163"/>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24</v>
      </c>
      <c r="B29" s="53" t="str">
        <f>IF(LEN(C43)=0,"",C43)</f>
        <v/>
      </c>
      <c r="C29" s="162" t="s">
        <v>52</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25</v>
      </c>
      <c r="B30" s="53" t="str">
        <f>IF(LEN(C45)=0,"",C45)</f>
        <v/>
      </c>
      <c r="C30" s="163"/>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24</v>
      </c>
      <c r="B31" s="53" t="str">
        <f>IF(LEN(C47)=0,"",C47)</f>
        <v/>
      </c>
      <c r="C31" s="162" t="s">
        <v>53</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25</v>
      </c>
      <c r="B32" s="53" t="str">
        <f>IF(LEN(C49)=0,"",C49)</f>
        <v/>
      </c>
      <c r="C32" s="163"/>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24</v>
      </c>
      <c r="B33" s="53" t="str">
        <f>IF(LEN(C51)=0,"",C51)</f>
        <v/>
      </c>
      <c r="C33" s="162" t="s">
        <v>54</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25</v>
      </c>
      <c r="B34" s="53" t="str">
        <f>IF(LEN(C53)=0,"",C53)</f>
        <v/>
      </c>
      <c r="C34" s="163"/>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24</v>
      </c>
      <c r="B35" s="53" t="str">
        <f>IF(LEN(C55)=0,"",C55)</f>
        <v/>
      </c>
      <c r="C35" s="162"/>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25</v>
      </c>
      <c r="B36" s="53" t="str">
        <f>IF(LEN(C57)=0,"",C57)</f>
        <v/>
      </c>
      <c r="C36" s="164"/>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24</v>
      </c>
      <c r="B37" s="53" t="str">
        <f>IF(LEN(C59)=0,"",C59)</f>
        <v/>
      </c>
      <c r="C37" s="162"/>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25</v>
      </c>
      <c r="B38" s="53" t="str">
        <f>IF(LEN(C61)=0,"",C61)</f>
        <v/>
      </c>
      <c r="C38" s="163"/>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24</v>
      </c>
      <c r="B39" s="53" t="str">
        <f>IF(LEN(C63)=0,"",C63)</f>
        <v/>
      </c>
      <c r="C39" s="162"/>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25</v>
      </c>
      <c r="B40" s="53" t="str">
        <f>IF(LEN(C65)=0,"",C65)</f>
        <v/>
      </c>
      <c r="C40" s="164"/>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24</v>
      </c>
      <c r="B41" s="53" t="str">
        <f>IF(LEN(C67)=0,"",C67)</f>
        <v/>
      </c>
      <c r="C41" s="162"/>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25</v>
      </c>
      <c r="B42" s="53" t="str">
        <f>IF(LEN(C69)=0,"",C69)</f>
        <v/>
      </c>
      <c r="C42" s="163"/>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24</v>
      </c>
      <c r="B43" s="53" t="str">
        <f>IF(LEN(C71)=0,"",C71)</f>
        <v/>
      </c>
      <c r="C43" s="162"/>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25</v>
      </c>
      <c r="B44" s="53" t="str">
        <f>IF(LEN(C73)=0,"",C73)</f>
        <v/>
      </c>
      <c r="C44" s="163"/>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24</v>
      </c>
      <c r="B45" s="53" t="str">
        <f>IF(LEN(C75)=0,"",C75)</f>
        <v/>
      </c>
      <c r="C45" s="162"/>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25</v>
      </c>
      <c r="B46" s="53" t="str">
        <f>IF(LEN(C77)=0,"",C77)</f>
        <v/>
      </c>
      <c r="C46" s="164"/>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24</v>
      </c>
      <c r="B47" s="53" t="str">
        <f>IF(LEN(C79)=0,"",C79)</f>
        <v/>
      </c>
      <c r="C47" s="162"/>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25</v>
      </c>
      <c r="B48" s="53" t="str">
        <f>IF(LEN(C81)=0,"",C81)</f>
        <v/>
      </c>
      <c r="C48" s="163"/>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24</v>
      </c>
      <c r="B49" s="53" t="str">
        <f>IF(LEN(C83)=0,"",C83)</f>
        <v/>
      </c>
      <c r="C49" s="162"/>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25</v>
      </c>
      <c r="B50" s="53" t="str">
        <f>IF(LEN(C85)=0,"",C85)</f>
        <v/>
      </c>
      <c r="C50" s="163"/>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24</v>
      </c>
      <c r="B51" s="53" t="str">
        <f>IF(LEN(C87)=0,"",C87)</f>
        <v/>
      </c>
      <c r="C51" s="162"/>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25</v>
      </c>
      <c r="B52" s="53" t="str">
        <f>IF(LEN(C89)=0,"",C89)</f>
        <v/>
      </c>
      <c r="C52" s="164"/>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24</v>
      </c>
      <c r="B53" s="53" t="str">
        <f>IF(LEN(C91)=0,"",C91)</f>
        <v/>
      </c>
      <c r="C53" s="162"/>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25</v>
      </c>
      <c r="B54" s="53" t="str">
        <f>IF(LEN(C93)=0,"",C93)</f>
        <v/>
      </c>
      <c r="C54" s="163"/>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24</v>
      </c>
      <c r="B55" s="53"/>
      <c r="C55" s="162"/>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25</v>
      </c>
      <c r="B56" s="53"/>
      <c r="C56" s="164"/>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24</v>
      </c>
      <c r="B57" s="53"/>
      <c r="C57" s="162"/>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25</v>
      </c>
      <c r="B58" s="53"/>
      <c r="C58" s="163"/>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24</v>
      </c>
      <c r="B59" s="53"/>
      <c r="C59" s="162"/>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25</v>
      </c>
      <c r="B60" s="53"/>
      <c r="C60" s="163"/>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24</v>
      </c>
      <c r="B61" s="53"/>
      <c r="C61" s="162"/>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25</v>
      </c>
      <c r="B62" s="53"/>
      <c r="C62" s="164"/>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24</v>
      </c>
      <c r="B63" s="53"/>
      <c r="C63" s="162"/>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25</v>
      </c>
      <c r="B64" s="53"/>
      <c r="C64" s="163"/>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24</v>
      </c>
      <c r="B65" s="53"/>
      <c r="C65" s="162"/>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25</v>
      </c>
      <c r="B66" s="53"/>
      <c r="C66" s="163"/>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24</v>
      </c>
      <c r="B67" s="53"/>
      <c r="C67" s="162"/>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25</v>
      </c>
      <c r="B68" s="53"/>
      <c r="C68" s="164"/>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24</v>
      </c>
      <c r="B69" s="53"/>
      <c r="C69" s="162"/>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25</v>
      </c>
      <c r="B70" s="53"/>
      <c r="C70" s="163"/>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24</v>
      </c>
      <c r="B71" s="53"/>
      <c r="C71" s="162"/>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25</v>
      </c>
      <c r="B72" s="53"/>
      <c r="C72" s="164"/>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24</v>
      </c>
      <c r="B73" s="53"/>
      <c r="C73" s="162"/>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25</v>
      </c>
      <c r="B74" s="53"/>
      <c r="C74" s="163"/>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24</v>
      </c>
      <c r="B75" s="53"/>
      <c r="C75" s="162"/>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25</v>
      </c>
      <c r="B76" s="53"/>
      <c r="C76" s="163"/>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24</v>
      </c>
      <c r="B77" s="53"/>
      <c r="C77" s="162"/>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25</v>
      </c>
      <c r="B78" s="53"/>
      <c r="C78" s="164"/>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24</v>
      </c>
      <c r="B79" s="53"/>
      <c r="C79" s="162"/>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25</v>
      </c>
      <c r="B80" s="53"/>
      <c r="C80" s="163"/>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24</v>
      </c>
      <c r="B81" s="53"/>
      <c r="C81" s="162"/>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25</v>
      </c>
      <c r="B82" s="53"/>
      <c r="C82" s="163"/>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24</v>
      </c>
      <c r="B83" s="53"/>
      <c r="C83" s="162"/>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25</v>
      </c>
      <c r="B84" s="53"/>
      <c r="C84" s="164"/>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24</v>
      </c>
      <c r="B85" s="53"/>
      <c r="C85" s="162"/>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25</v>
      </c>
      <c r="B86" s="53"/>
      <c r="C86" s="163"/>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24</v>
      </c>
      <c r="B87" s="53"/>
      <c r="C87" s="162"/>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25</v>
      </c>
      <c r="B88" s="53"/>
      <c r="C88" s="164"/>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24</v>
      </c>
      <c r="B89" s="53"/>
      <c r="C89" s="162"/>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25</v>
      </c>
      <c r="B90" s="53"/>
      <c r="C90" s="163"/>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24</v>
      </c>
      <c r="B91" s="53"/>
      <c r="C91" s="162"/>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25</v>
      </c>
      <c r="B92" s="53"/>
      <c r="C92" s="163"/>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24</v>
      </c>
      <c r="B93" s="53"/>
      <c r="C93" s="162"/>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25</v>
      </c>
      <c r="B94" s="53"/>
      <c r="C94" s="164"/>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86" t="s">
        <v>9</v>
      </c>
      <c r="D95" s="18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88"/>
      <c r="D96" s="18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82" t="s">
        <v>10</v>
      </c>
      <c r="D97" s="183"/>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84"/>
      <c r="D98" s="185"/>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32"/>
  <sheetViews>
    <sheetView showGridLines="0" tabSelected="1" zoomScaleNormal="100" zoomScaleSheetLayoutView="98" workbookViewId="0">
      <pane ySplit="1" topLeftCell="A2" activePane="bottomLeft" state="frozen"/>
      <selection pane="bottomLeft" activeCell="D8" sqref="D8"/>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47.42578125" style="51" customWidth="1"/>
    <col min="7" max="16384" width="11.42578125" style="51"/>
  </cols>
  <sheetData>
    <row r="1" spans="1:7" ht="49.9" customHeight="1" thickBot="1" x14ac:dyDescent="0.35"/>
    <row r="2" spans="1:7" s="40" customFormat="1" ht="30" customHeight="1" thickBot="1" x14ac:dyDescent="0.3">
      <c r="A2" s="139" t="s">
        <v>16</v>
      </c>
      <c r="B2" s="147">
        <v>4</v>
      </c>
      <c r="C2" s="147"/>
      <c r="D2" s="140" t="s">
        <v>19</v>
      </c>
      <c r="E2" s="141">
        <v>45555</v>
      </c>
      <c r="F2" s="142"/>
      <c r="G2" s="39"/>
    </row>
    <row r="3" spans="1:7" s="40" customFormat="1" ht="30" customHeight="1" thickBot="1" x14ac:dyDescent="0.3">
      <c r="A3" s="63" t="s">
        <v>5</v>
      </c>
      <c r="B3" s="144" t="s">
        <v>46</v>
      </c>
      <c r="C3" s="143"/>
      <c r="D3" s="63" t="s">
        <v>17</v>
      </c>
      <c r="E3" s="196" t="s">
        <v>18</v>
      </c>
      <c r="F3" s="197"/>
      <c r="G3" s="39"/>
    </row>
    <row r="4" spans="1:7" s="44" customFormat="1" ht="67.5" x14ac:dyDescent="0.3">
      <c r="A4" s="41" t="s">
        <v>54</v>
      </c>
      <c r="B4" s="42">
        <v>12</v>
      </c>
      <c r="C4" s="135" t="str">
        <f xml:space="preserve"> IF(B4="","",setValueToTime(B4))</f>
        <v>1h</v>
      </c>
      <c r="D4" s="43" t="s">
        <v>72</v>
      </c>
      <c r="E4" s="198"/>
      <c r="F4" s="199"/>
      <c r="G4" s="3"/>
    </row>
    <row r="5" spans="1:7" s="44" customFormat="1" ht="27" x14ac:dyDescent="0.3">
      <c r="A5" s="45" t="s">
        <v>54</v>
      </c>
      <c r="B5" s="46">
        <v>7</v>
      </c>
      <c r="C5" s="136" t="str">
        <f t="shared" ref="C5:C11" si="0" xml:space="preserve"> IF(B5="","",setValueToTime(B5))</f>
        <v>0h35min</v>
      </c>
      <c r="D5" s="47" t="s">
        <v>79</v>
      </c>
      <c r="E5" s="190"/>
      <c r="F5" s="191"/>
      <c r="G5" s="3"/>
    </row>
    <row r="6" spans="1:7" s="44" customFormat="1" ht="27" x14ac:dyDescent="0.3">
      <c r="A6" s="45" t="s">
        <v>54</v>
      </c>
      <c r="B6" s="46">
        <v>14</v>
      </c>
      <c r="C6" s="136" t="str">
        <f t="shared" si="0"/>
        <v>1h10min</v>
      </c>
      <c r="D6" s="47" t="s">
        <v>80</v>
      </c>
      <c r="E6" s="190"/>
      <c r="F6" s="191"/>
      <c r="G6" s="3"/>
    </row>
    <row r="7" spans="1:7" s="44" customFormat="1" ht="27" x14ac:dyDescent="0.3">
      <c r="A7" s="45" t="s">
        <v>21</v>
      </c>
      <c r="B7" s="46">
        <v>3</v>
      </c>
      <c r="C7" s="136" t="str">
        <f t="shared" si="0"/>
        <v>0h15min</v>
      </c>
      <c r="D7" s="47" t="s">
        <v>81</v>
      </c>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33</v>
      </c>
      <c r="B12" s="68">
        <f>SUM(B4:B11)</f>
        <v>36</v>
      </c>
      <c r="C12" s="145" t="str">
        <f xml:space="preserve"> setValueToTime(B12)</f>
        <v>3h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16</v>
      </c>
      <c r="B14" s="147">
        <v>3</v>
      </c>
      <c r="C14" s="147"/>
      <c r="D14" s="140" t="s">
        <v>19</v>
      </c>
      <c r="E14" s="141">
        <v>45548</v>
      </c>
      <c r="F14" s="142"/>
      <c r="G14" s="39"/>
    </row>
    <row r="15" spans="1:7" s="40" customFormat="1" ht="30" customHeight="1" thickBot="1" x14ac:dyDescent="0.3">
      <c r="A15" s="63" t="s">
        <v>5</v>
      </c>
      <c r="B15" s="144" t="s">
        <v>46</v>
      </c>
      <c r="C15" s="143"/>
      <c r="D15" s="63" t="s">
        <v>17</v>
      </c>
      <c r="E15" s="196" t="s">
        <v>18</v>
      </c>
      <c r="F15" s="197"/>
      <c r="G15" s="39"/>
    </row>
    <row r="16" spans="1:7" s="44" customFormat="1" x14ac:dyDescent="0.3">
      <c r="A16" s="41"/>
      <c r="B16" s="42">
        <v>3</v>
      </c>
      <c r="C16" s="135" t="str">
        <f xml:space="preserve"> IF(B16="","",setValueToTime(B16))</f>
        <v>0h15min</v>
      </c>
      <c r="D16" s="43" t="s">
        <v>73</v>
      </c>
      <c r="E16" s="198"/>
      <c r="F16" s="199"/>
      <c r="G16" s="3"/>
    </row>
    <row r="17" spans="1:7" s="44" customFormat="1" x14ac:dyDescent="0.3">
      <c r="A17" s="45"/>
      <c r="B17" s="46">
        <v>5</v>
      </c>
      <c r="C17" s="136" t="str">
        <f t="shared" ref="C17:C23" si="1" xml:space="preserve"> IF(B17="","",setValueToTime(B17))</f>
        <v>0h25min</v>
      </c>
      <c r="D17" s="47" t="s">
        <v>74</v>
      </c>
      <c r="E17" s="190"/>
      <c r="F17" s="191"/>
      <c r="G17" s="3"/>
    </row>
    <row r="18" spans="1:7" s="44" customFormat="1" ht="78" customHeight="1" x14ac:dyDescent="0.3">
      <c r="A18" s="45"/>
      <c r="B18" s="46">
        <v>14</v>
      </c>
      <c r="C18" s="136" t="str">
        <f t="shared" si="1"/>
        <v>1h10min</v>
      </c>
      <c r="D18" s="47" t="s">
        <v>76</v>
      </c>
      <c r="E18" s="190" t="s">
        <v>75</v>
      </c>
      <c r="F18" s="191"/>
      <c r="G18" s="3"/>
    </row>
    <row r="19" spans="1:7" s="44" customFormat="1" ht="27" x14ac:dyDescent="0.3">
      <c r="A19" s="45"/>
      <c r="B19" s="46">
        <v>5</v>
      </c>
      <c r="C19" s="136" t="str">
        <f t="shared" si="1"/>
        <v>0h25min</v>
      </c>
      <c r="D19" s="47" t="s">
        <v>77</v>
      </c>
      <c r="E19" s="190"/>
      <c r="F19" s="191"/>
      <c r="G19" s="3"/>
    </row>
    <row r="20" spans="1:7" s="44" customFormat="1" ht="27" x14ac:dyDescent="0.3">
      <c r="A20" s="46"/>
      <c r="B20" s="46">
        <v>9</v>
      </c>
      <c r="C20" s="137" t="str">
        <f t="shared" si="1"/>
        <v>0h45min</v>
      </c>
      <c r="D20" s="47" t="s">
        <v>78</v>
      </c>
      <c r="E20" s="190"/>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33</v>
      </c>
      <c r="B24" s="68">
        <f>SUM(B16:B23)</f>
        <v>36</v>
      </c>
      <c r="C24" s="145" t="str">
        <f xml:space="preserve"> setValueToTime(B24)</f>
        <v>3h</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16</v>
      </c>
      <c r="B26" s="147">
        <v>2</v>
      </c>
      <c r="C26" s="147"/>
      <c r="D26" s="140" t="s">
        <v>19</v>
      </c>
      <c r="E26" s="141">
        <v>45541</v>
      </c>
      <c r="F26" s="142"/>
      <c r="G26" s="39"/>
    </row>
    <row r="27" spans="1:7" s="40" customFormat="1" ht="30" customHeight="1" thickBot="1" x14ac:dyDescent="0.3">
      <c r="A27" s="63" t="s">
        <v>5</v>
      </c>
      <c r="B27" s="144" t="s">
        <v>46</v>
      </c>
      <c r="C27" s="143"/>
      <c r="D27" s="63" t="s">
        <v>17</v>
      </c>
      <c r="E27" s="196" t="s">
        <v>18</v>
      </c>
      <c r="F27" s="197"/>
      <c r="G27" s="39"/>
    </row>
    <row r="28" spans="1:7" s="44" customFormat="1" x14ac:dyDescent="0.3">
      <c r="A28" s="41" t="s">
        <v>51</v>
      </c>
      <c r="B28" s="42">
        <v>2</v>
      </c>
      <c r="C28" s="135" t="str">
        <f xml:space="preserve"> IF(B28="","",setValueToTime(B28))</f>
        <v>0h10min</v>
      </c>
      <c r="D28" s="43" t="s">
        <v>65</v>
      </c>
      <c r="E28" s="198"/>
      <c r="F28" s="199"/>
      <c r="G28" s="3"/>
    </row>
    <row r="29" spans="1:7" s="44" customFormat="1" ht="27" x14ac:dyDescent="0.3">
      <c r="A29" s="45" t="s">
        <v>20</v>
      </c>
      <c r="B29" s="46">
        <v>8</v>
      </c>
      <c r="C29" s="136" t="str">
        <f t="shared" ref="C29:C35" si="2" xml:space="preserve"> IF(B29="","",setValueToTime(B29))</f>
        <v>0h40min</v>
      </c>
      <c r="D29" s="47" t="s">
        <v>66</v>
      </c>
      <c r="E29" s="190" t="s">
        <v>67</v>
      </c>
      <c r="F29" s="191"/>
      <c r="G29" s="3"/>
    </row>
    <row r="30" spans="1:7" s="44" customFormat="1" ht="54" x14ac:dyDescent="0.3">
      <c r="A30" s="45" t="s">
        <v>54</v>
      </c>
      <c r="B30" s="46">
        <v>14</v>
      </c>
      <c r="C30" s="136" t="str">
        <f t="shared" si="2"/>
        <v>1h10min</v>
      </c>
      <c r="D30" s="47" t="s">
        <v>68</v>
      </c>
      <c r="E30" s="190"/>
      <c r="F30" s="191"/>
      <c r="G30" s="3"/>
    </row>
    <row r="31" spans="1:7" s="44" customFormat="1" ht="54" x14ac:dyDescent="0.3">
      <c r="A31" s="45" t="s">
        <v>54</v>
      </c>
      <c r="B31" s="46">
        <v>6</v>
      </c>
      <c r="C31" s="136" t="str">
        <f t="shared" si="2"/>
        <v>0h30min</v>
      </c>
      <c r="D31" s="47" t="s">
        <v>69</v>
      </c>
      <c r="E31" s="190"/>
      <c r="F31" s="191"/>
      <c r="G31" s="3"/>
    </row>
    <row r="32" spans="1:7" s="44" customFormat="1" x14ac:dyDescent="0.3">
      <c r="A32" s="46"/>
      <c r="B32" s="46">
        <v>3</v>
      </c>
      <c r="C32" s="137" t="str">
        <f t="shared" si="2"/>
        <v>0h15min</v>
      </c>
      <c r="D32" s="47" t="s">
        <v>71</v>
      </c>
      <c r="E32" s="190"/>
      <c r="F32" s="191"/>
      <c r="G32" s="3"/>
    </row>
    <row r="33" spans="1:7" s="44" customFormat="1" x14ac:dyDescent="0.3">
      <c r="A33" s="46"/>
      <c r="B33" s="46">
        <v>3</v>
      </c>
      <c r="C33" s="137" t="str">
        <f t="shared" si="2"/>
        <v>0h15min</v>
      </c>
      <c r="D33" s="47" t="s">
        <v>70</v>
      </c>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33</v>
      </c>
      <c r="B36" s="68">
        <f>SUM(B28:B35)</f>
        <v>36</v>
      </c>
      <c r="C36" s="145" t="str">
        <f xml:space="preserve"> setValueToTime(B36)</f>
        <v>3h</v>
      </c>
      <c r="D36" s="105"/>
      <c r="E36" s="194"/>
      <c r="F36" s="195"/>
      <c r="G36" s="3"/>
    </row>
    <row r="37" spans="1:7" s="44" customFormat="1" ht="15" thickBot="1" x14ac:dyDescent="0.35">
      <c r="A37" s="62"/>
      <c r="B37" s="62"/>
      <c r="C37" s="62"/>
      <c r="D37" s="62"/>
      <c r="E37" s="62"/>
      <c r="F37" s="62"/>
      <c r="G37" s="3"/>
    </row>
    <row r="38" spans="1:7" s="40" customFormat="1" ht="30" customHeight="1" thickBot="1" x14ac:dyDescent="0.3">
      <c r="A38" s="139" t="s">
        <v>16</v>
      </c>
      <c r="B38" s="147">
        <v>1</v>
      </c>
      <c r="C38" s="147"/>
      <c r="D38" s="140" t="s">
        <v>19</v>
      </c>
      <c r="E38" s="141">
        <v>45534</v>
      </c>
      <c r="F38" s="142"/>
      <c r="G38" s="39"/>
    </row>
    <row r="39" spans="1:7" s="40" customFormat="1" ht="30" customHeight="1" thickBot="1" x14ac:dyDescent="0.3">
      <c r="A39" s="63" t="s">
        <v>5</v>
      </c>
      <c r="B39" s="144" t="s">
        <v>46</v>
      </c>
      <c r="C39" s="143"/>
      <c r="D39" s="63" t="s">
        <v>17</v>
      </c>
      <c r="E39" s="196" t="s">
        <v>18</v>
      </c>
      <c r="F39" s="197"/>
      <c r="G39" s="39"/>
    </row>
    <row r="40" spans="1:7" s="44" customFormat="1" x14ac:dyDescent="0.3">
      <c r="A40" s="41" t="s">
        <v>51</v>
      </c>
      <c r="B40" s="42">
        <v>15</v>
      </c>
      <c r="C40" s="135" t="str">
        <f xml:space="preserve"> IF(B40="","",setValueToTime(B40))</f>
        <v>1h15min</v>
      </c>
      <c r="D40" s="43" t="s">
        <v>57</v>
      </c>
      <c r="E40" s="198"/>
      <c r="F40" s="199"/>
      <c r="G40" s="3"/>
    </row>
    <row r="41" spans="1:7" s="44" customFormat="1" ht="69" customHeight="1" x14ac:dyDescent="0.3">
      <c r="A41" s="45" t="s">
        <v>53</v>
      </c>
      <c r="B41" s="46">
        <v>9</v>
      </c>
      <c r="C41" s="136" t="str">
        <f t="shared" ref="C41:C47" si="3" xml:space="preserve"> IF(B41="","",setValueToTime(B41))</f>
        <v>0h45min</v>
      </c>
      <c r="D41" s="47" t="s">
        <v>58</v>
      </c>
      <c r="E41" s="190" t="s">
        <v>59</v>
      </c>
      <c r="F41" s="191"/>
      <c r="G41" s="3"/>
    </row>
    <row r="42" spans="1:7" s="44" customFormat="1" ht="40.5" x14ac:dyDescent="0.3">
      <c r="A42" s="45" t="s">
        <v>50</v>
      </c>
      <c r="B42" s="46">
        <v>4</v>
      </c>
      <c r="C42" s="136" t="str">
        <f t="shared" si="3"/>
        <v>0h20min</v>
      </c>
      <c r="D42" s="47" t="s">
        <v>60</v>
      </c>
      <c r="E42" s="190" t="s">
        <v>61</v>
      </c>
      <c r="F42" s="191"/>
      <c r="G42" s="3"/>
    </row>
    <row r="43" spans="1:7" s="44" customFormat="1" ht="27" x14ac:dyDescent="0.3">
      <c r="A43" s="45" t="s">
        <v>54</v>
      </c>
      <c r="B43" s="46">
        <v>7</v>
      </c>
      <c r="C43" s="136" t="str">
        <f t="shared" si="3"/>
        <v>0h35min</v>
      </c>
      <c r="D43" s="47" t="s">
        <v>62</v>
      </c>
      <c r="E43" s="190" t="s">
        <v>63</v>
      </c>
      <c r="F43" s="191"/>
      <c r="G43" s="3"/>
    </row>
    <row r="44" spans="1:7" s="44" customFormat="1" ht="27" x14ac:dyDescent="0.3">
      <c r="A44" s="46" t="s">
        <v>21</v>
      </c>
      <c r="B44" s="46">
        <v>1</v>
      </c>
      <c r="C44" s="137" t="str">
        <f t="shared" si="3"/>
        <v>0h5min</v>
      </c>
      <c r="D44" s="47" t="s">
        <v>64</v>
      </c>
      <c r="E44" s="190"/>
      <c r="F44" s="191"/>
      <c r="G44" s="3"/>
    </row>
    <row r="45" spans="1:7" s="44" customFormat="1" x14ac:dyDescent="0.3">
      <c r="A45" s="46"/>
      <c r="B45" s="46"/>
      <c r="C45" s="137" t="str">
        <f t="shared" si="3"/>
        <v/>
      </c>
      <c r="D45" s="47"/>
      <c r="E45" s="190"/>
      <c r="F45" s="191"/>
      <c r="G45" s="3"/>
    </row>
    <row r="46" spans="1:7" s="44" customFormat="1" x14ac:dyDescent="0.3">
      <c r="A46" s="46"/>
      <c r="B46" s="46"/>
      <c r="C46" s="137" t="str">
        <f t="shared" si="3"/>
        <v/>
      </c>
      <c r="D46" s="47"/>
      <c r="E46" s="190"/>
      <c r="F46" s="191"/>
      <c r="G46" s="3"/>
    </row>
    <row r="47" spans="1:7" s="44" customFormat="1" ht="15" thickBot="1" x14ac:dyDescent="0.35">
      <c r="A47" s="48"/>
      <c r="B47" s="48"/>
      <c r="C47" s="138" t="str">
        <f t="shared" si="3"/>
        <v/>
      </c>
      <c r="D47" s="49"/>
      <c r="E47" s="192"/>
      <c r="F47" s="193"/>
      <c r="G47" s="3"/>
    </row>
    <row r="48" spans="1:7" s="44" customFormat="1" ht="15" thickBot="1" x14ac:dyDescent="0.35">
      <c r="A48" s="145" t="s">
        <v>33</v>
      </c>
      <c r="B48" s="68">
        <f>SUM(B40:B47)</f>
        <v>36</v>
      </c>
      <c r="C48" s="145" t="str">
        <f xml:space="preserve"> setValueToTime(B48)</f>
        <v>3h</v>
      </c>
      <c r="D48" s="105"/>
      <c r="E48" s="194"/>
      <c r="F48" s="195"/>
      <c r="G48" s="3"/>
    </row>
    <row r="49" spans="1:7" s="44" customFormat="1" x14ac:dyDescent="0.3">
      <c r="A49" s="62"/>
      <c r="B49" s="62"/>
      <c r="C49" s="62"/>
      <c r="D49" s="62"/>
      <c r="E49" s="62"/>
      <c r="F49" s="62"/>
      <c r="G49" s="3"/>
    </row>
    <row r="50" spans="1:7" s="40" customFormat="1" ht="30" customHeight="1" x14ac:dyDescent="0.3">
      <c r="A50" s="50"/>
      <c r="B50" s="50"/>
      <c r="C50" s="50"/>
      <c r="D50" s="50"/>
      <c r="E50" s="109"/>
      <c r="F50" s="51"/>
      <c r="G50" s="51"/>
    </row>
    <row r="51" spans="1:7" s="40" customFormat="1" ht="30" customHeight="1" x14ac:dyDescent="0.3">
      <c r="A51" s="50"/>
      <c r="B51" s="50"/>
      <c r="C51" s="50"/>
      <c r="D51" s="50"/>
      <c r="E51" s="109"/>
      <c r="F51" s="51"/>
      <c r="G51" s="51"/>
    </row>
    <row r="52" spans="1:7" s="44" customFormat="1" x14ac:dyDescent="0.3">
      <c r="A52" s="50"/>
      <c r="B52" s="50"/>
      <c r="C52" s="50"/>
      <c r="D52" s="50"/>
      <c r="E52" s="109"/>
      <c r="F52" s="51"/>
      <c r="G52" s="51"/>
    </row>
    <row r="53" spans="1:7" s="44" customFormat="1" x14ac:dyDescent="0.3">
      <c r="A53" s="50"/>
      <c r="B53" s="50"/>
      <c r="C53" s="50"/>
      <c r="D53" s="50"/>
      <c r="E53" s="109"/>
      <c r="F53" s="51"/>
      <c r="G53" s="51"/>
    </row>
    <row r="54" spans="1:7" s="44" customFormat="1" x14ac:dyDescent="0.3">
      <c r="A54" s="50"/>
      <c r="B54" s="50"/>
      <c r="C54" s="50"/>
      <c r="D54" s="50"/>
      <c r="E54" s="109"/>
      <c r="F54" s="51"/>
      <c r="G54" s="51"/>
    </row>
    <row r="55" spans="1:7" s="44" customFormat="1" x14ac:dyDescent="0.3">
      <c r="A55" s="50"/>
      <c r="B55" s="50"/>
      <c r="C55" s="50"/>
      <c r="D55" s="50"/>
      <c r="E55" s="109"/>
      <c r="F55" s="51"/>
      <c r="G55" s="51"/>
    </row>
    <row r="56" spans="1:7" s="44" customFormat="1" x14ac:dyDescent="0.3">
      <c r="A56" s="50"/>
      <c r="B56" s="50"/>
      <c r="C56" s="50"/>
      <c r="D56" s="50"/>
      <c r="E56" s="109"/>
      <c r="F56" s="51"/>
      <c r="G56" s="51"/>
    </row>
    <row r="57" spans="1:7" s="44" customFormat="1" x14ac:dyDescent="0.3">
      <c r="A57" s="50"/>
      <c r="B57" s="50"/>
      <c r="C57" s="50"/>
      <c r="D57" s="50"/>
      <c r="E57" s="109"/>
      <c r="F57" s="51"/>
      <c r="G57" s="51"/>
    </row>
    <row r="58" spans="1:7" s="44" customFormat="1" x14ac:dyDescent="0.3">
      <c r="A58" s="50"/>
      <c r="B58" s="50"/>
      <c r="C58" s="50"/>
      <c r="D58" s="50"/>
      <c r="E58" s="109"/>
      <c r="F58" s="51"/>
      <c r="G58" s="51"/>
    </row>
    <row r="59" spans="1:7" s="44" customFormat="1" x14ac:dyDescent="0.3">
      <c r="A59" s="50"/>
      <c r="B59" s="50"/>
      <c r="C59" s="50"/>
      <c r="D59" s="50"/>
      <c r="E59" s="109"/>
      <c r="F59" s="51"/>
      <c r="G59" s="51"/>
    </row>
    <row r="60" spans="1:7" s="44" customFormat="1" x14ac:dyDescent="0.3">
      <c r="A60" s="50"/>
      <c r="B60" s="50"/>
      <c r="C60" s="50"/>
      <c r="D60" s="50"/>
      <c r="E60" s="109"/>
      <c r="F60" s="51"/>
      <c r="G60" s="51"/>
    </row>
    <row r="61" spans="1:7" s="44" customFormat="1" x14ac:dyDescent="0.3">
      <c r="A61" s="50"/>
      <c r="B61" s="50"/>
      <c r="C61" s="50"/>
      <c r="D61" s="50"/>
      <c r="E61" s="109"/>
      <c r="F61" s="51"/>
      <c r="G61" s="51"/>
    </row>
    <row r="62" spans="1:7" s="40" customFormat="1" ht="30" customHeight="1" x14ac:dyDescent="0.3">
      <c r="A62" s="50"/>
      <c r="B62" s="50"/>
      <c r="C62" s="50"/>
      <c r="D62" s="50"/>
      <c r="E62" s="109"/>
      <c r="F62" s="51"/>
      <c r="G62" s="51"/>
    </row>
    <row r="63" spans="1:7" s="40" customFormat="1" ht="30" customHeight="1" x14ac:dyDescent="0.3">
      <c r="A63" s="50"/>
      <c r="B63" s="50"/>
      <c r="C63" s="50"/>
      <c r="D63" s="50"/>
      <c r="E63" s="109"/>
      <c r="F63" s="51"/>
      <c r="G63" s="51"/>
    </row>
    <row r="64" spans="1:7" s="44" customFormat="1" x14ac:dyDescent="0.3">
      <c r="A64" s="50"/>
      <c r="B64" s="50"/>
      <c r="C64" s="50"/>
      <c r="D64" s="50"/>
      <c r="E64" s="109"/>
      <c r="F64" s="51"/>
      <c r="G64" s="51"/>
    </row>
    <row r="65" spans="1:7" s="44" customFormat="1" x14ac:dyDescent="0.3">
      <c r="A65" s="50"/>
      <c r="B65" s="50"/>
      <c r="C65" s="50"/>
      <c r="D65" s="50"/>
      <c r="E65" s="109"/>
      <c r="F65" s="51"/>
      <c r="G65" s="51"/>
    </row>
    <row r="66" spans="1:7" s="44" customFormat="1" x14ac:dyDescent="0.3">
      <c r="A66" s="50"/>
      <c r="B66" s="50"/>
      <c r="C66" s="50"/>
      <c r="D66" s="50"/>
      <c r="E66" s="109"/>
      <c r="F66" s="51"/>
      <c r="G66" s="51"/>
    </row>
    <row r="67" spans="1:7" s="44" customFormat="1" x14ac:dyDescent="0.3">
      <c r="A67" s="50"/>
      <c r="B67" s="50"/>
      <c r="C67" s="50"/>
      <c r="D67" s="50"/>
      <c r="E67" s="109"/>
      <c r="F67" s="51"/>
      <c r="G67" s="51"/>
    </row>
    <row r="68" spans="1:7" s="44" customFormat="1" x14ac:dyDescent="0.3">
      <c r="A68" s="50"/>
      <c r="B68" s="50"/>
      <c r="C68" s="50"/>
      <c r="D68" s="50"/>
      <c r="E68" s="109"/>
      <c r="F68" s="51"/>
      <c r="G68" s="51"/>
    </row>
    <row r="69" spans="1:7" s="44" customFormat="1" x14ac:dyDescent="0.3">
      <c r="A69" s="50"/>
      <c r="B69" s="50"/>
      <c r="C69" s="50"/>
      <c r="D69" s="50"/>
      <c r="E69" s="109"/>
      <c r="F69" s="51"/>
      <c r="G69" s="51"/>
    </row>
    <row r="70" spans="1:7" s="44" customFormat="1" x14ac:dyDescent="0.3">
      <c r="A70" s="50"/>
      <c r="B70" s="50"/>
      <c r="C70" s="50"/>
      <c r="D70" s="50"/>
      <c r="E70" s="109"/>
      <c r="F70" s="51"/>
      <c r="G70" s="51"/>
    </row>
    <row r="71" spans="1:7" s="44" customFormat="1" x14ac:dyDescent="0.3">
      <c r="A71" s="50"/>
      <c r="B71" s="50"/>
      <c r="C71" s="50"/>
      <c r="D71" s="50"/>
      <c r="E71" s="109"/>
      <c r="F71" s="51"/>
      <c r="G71" s="51"/>
    </row>
    <row r="72" spans="1:7" s="44" customFormat="1" x14ac:dyDescent="0.3">
      <c r="A72" s="50"/>
      <c r="B72" s="50"/>
      <c r="C72" s="50"/>
      <c r="D72" s="50"/>
      <c r="E72" s="109"/>
      <c r="F72" s="51"/>
      <c r="G72" s="51"/>
    </row>
    <row r="73" spans="1:7" s="44" customFormat="1" x14ac:dyDescent="0.3">
      <c r="A73" s="50"/>
      <c r="B73" s="50"/>
      <c r="C73" s="50"/>
      <c r="D73" s="50"/>
      <c r="E73" s="109"/>
      <c r="F73" s="51"/>
      <c r="G73" s="51"/>
    </row>
    <row r="74" spans="1:7" s="40" customFormat="1" ht="30" customHeight="1" x14ac:dyDescent="0.3">
      <c r="A74" s="50"/>
      <c r="B74" s="50"/>
      <c r="C74" s="50"/>
      <c r="D74" s="50"/>
      <c r="E74" s="109"/>
      <c r="F74" s="51"/>
      <c r="G74" s="51"/>
    </row>
    <row r="75" spans="1:7" s="40" customFormat="1" ht="30" customHeight="1" x14ac:dyDescent="0.3">
      <c r="A75" s="50"/>
      <c r="B75" s="50"/>
      <c r="C75" s="50"/>
      <c r="D75" s="50"/>
      <c r="E75" s="109"/>
      <c r="F75" s="51"/>
      <c r="G75" s="51"/>
    </row>
    <row r="76" spans="1:7" s="44" customFormat="1" x14ac:dyDescent="0.3">
      <c r="A76" s="50"/>
      <c r="B76" s="50"/>
      <c r="C76" s="50"/>
      <c r="D76" s="50"/>
      <c r="E76" s="109"/>
      <c r="F76" s="51"/>
      <c r="G76" s="51"/>
    </row>
    <row r="77" spans="1:7" s="44" customFormat="1" x14ac:dyDescent="0.3">
      <c r="A77" s="50"/>
      <c r="B77" s="50"/>
      <c r="C77" s="50"/>
      <c r="D77" s="50"/>
      <c r="E77" s="109"/>
      <c r="F77" s="51"/>
      <c r="G77" s="51"/>
    </row>
    <row r="78" spans="1:7" s="44" customFormat="1" x14ac:dyDescent="0.3">
      <c r="A78" s="50"/>
      <c r="B78" s="50"/>
      <c r="C78" s="50"/>
      <c r="D78" s="50"/>
      <c r="E78" s="109"/>
      <c r="F78" s="51"/>
      <c r="G78" s="51"/>
    </row>
    <row r="79" spans="1:7" s="44" customFormat="1" x14ac:dyDescent="0.3">
      <c r="A79" s="50"/>
      <c r="B79" s="50"/>
      <c r="C79" s="50"/>
      <c r="D79" s="50"/>
      <c r="E79" s="109"/>
      <c r="F79" s="51"/>
      <c r="G79" s="51"/>
    </row>
    <row r="80" spans="1:7" s="44" customFormat="1" x14ac:dyDescent="0.3">
      <c r="A80" s="50"/>
      <c r="B80" s="50"/>
      <c r="C80" s="50"/>
      <c r="D80" s="50"/>
      <c r="E80" s="109"/>
      <c r="F80" s="51"/>
      <c r="G80" s="51"/>
    </row>
    <row r="81" spans="1:7" s="44" customFormat="1" x14ac:dyDescent="0.3">
      <c r="A81" s="50"/>
      <c r="B81" s="50"/>
      <c r="C81" s="50"/>
      <c r="D81" s="50"/>
      <c r="E81" s="109"/>
      <c r="F81" s="51"/>
      <c r="G81" s="51"/>
    </row>
    <row r="82" spans="1:7" s="44" customFormat="1" x14ac:dyDescent="0.3">
      <c r="A82" s="50"/>
      <c r="B82" s="50"/>
      <c r="C82" s="50"/>
      <c r="D82" s="50"/>
      <c r="E82" s="109"/>
      <c r="F82" s="51"/>
      <c r="G82" s="51"/>
    </row>
    <row r="83" spans="1:7" s="44" customFormat="1" x14ac:dyDescent="0.3">
      <c r="A83" s="50"/>
      <c r="B83" s="50"/>
      <c r="C83" s="50"/>
      <c r="D83" s="50"/>
      <c r="E83" s="109"/>
      <c r="F83" s="51"/>
      <c r="G83" s="51"/>
    </row>
    <row r="84" spans="1:7" s="44" customFormat="1" x14ac:dyDescent="0.3">
      <c r="A84" s="50"/>
      <c r="B84" s="50"/>
      <c r="C84" s="50"/>
      <c r="D84" s="50"/>
      <c r="E84" s="109"/>
      <c r="F84" s="51"/>
      <c r="G84" s="51"/>
    </row>
    <row r="85" spans="1:7" s="44" customFormat="1" x14ac:dyDescent="0.3">
      <c r="A85" s="50"/>
      <c r="B85" s="50"/>
      <c r="C85" s="50"/>
      <c r="D85" s="50"/>
      <c r="E85" s="109"/>
      <c r="F85" s="51"/>
      <c r="G85" s="51"/>
    </row>
    <row r="86" spans="1:7" s="40" customFormat="1" ht="30" customHeight="1" x14ac:dyDescent="0.3">
      <c r="A86" s="50"/>
      <c r="B86" s="50"/>
      <c r="C86" s="50"/>
      <c r="D86" s="50"/>
      <c r="E86" s="109"/>
      <c r="F86" s="51"/>
      <c r="G86" s="51"/>
    </row>
    <row r="87" spans="1:7" s="40" customFormat="1" ht="30" customHeight="1" x14ac:dyDescent="0.3">
      <c r="A87" s="50"/>
      <c r="B87" s="50"/>
      <c r="C87" s="50"/>
      <c r="D87" s="50"/>
      <c r="E87" s="109"/>
      <c r="F87" s="51"/>
      <c r="G87" s="51"/>
    </row>
    <row r="88" spans="1:7" s="44" customFormat="1" x14ac:dyDescent="0.3">
      <c r="A88" s="50"/>
      <c r="B88" s="50"/>
      <c r="C88" s="50"/>
      <c r="D88" s="50"/>
      <c r="E88" s="109"/>
      <c r="F88" s="51"/>
      <c r="G88" s="51"/>
    </row>
    <row r="89" spans="1:7" s="44" customFormat="1" x14ac:dyDescent="0.3">
      <c r="A89" s="50"/>
      <c r="B89" s="50"/>
      <c r="C89" s="50"/>
      <c r="D89" s="50"/>
      <c r="E89" s="109"/>
      <c r="F89" s="51"/>
      <c r="G89" s="51"/>
    </row>
    <row r="90" spans="1:7" s="44" customFormat="1" x14ac:dyDescent="0.3">
      <c r="A90" s="50"/>
      <c r="B90" s="50"/>
      <c r="C90" s="50"/>
      <c r="D90" s="50"/>
      <c r="E90" s="109"/>
      <c r="F90" s="51"/>
      <c r="G90" s="51"/>
    </row>
    <row r="91" spans="1:7" s="44" customFormat="1" x14ac:dyDescent="0.3">
      <c r="A91" s="50"/>
      <c r="B91" s="50"/>
      <c r="C91" s="50"/>
      <c r="D91" s="50"/>
      <c r="E91" s="109"/>
      <c r="F91" s="51"/>
      <c r="G91" s="51"/>
    </row>
    <row r="92" spans="1:7" s="44" customFormat="1" x14ac:dyDescent="0.3">
      <c r="A92" s="50"/>
      <c r="B92" s="50"/>
      <c r="C92" s="50"/>
      <c r="D92" s="50"/>
      <c r="E92" s="109"/>
      <c r="F92" s="51"/>
      <c r="G92" s="51"/>
    </row>
    <row r="93" spans="1:7" s="44" customFormat="1" x14ac:dyDescent="0.3">
      <c r="A93" s="50"/>
      <c r="B93" s="50"/>
      <c r="C93" s="50"/>
      <c r="D93" s="50"/>
      <c r="E93" s="109"/>
      <c r="F93" s="51"/>
      <c r="G93" s="51"/>
    </row>
    <row r="94" spans="1:7" s="44" customFormat="1" x14ac:dyDescent="0.3">
      <c r="A94" s="50"/>
      <c r="B94" s="50"/>
      <c r="C94" s="50"/>
      <c r="D94" s="50"/>
      <c r="E94" s="109"/>
      <c r="F94" s="51"/>
      <c r="G94" s="51"/>
    </row>
    <row r="95" spans="1:7" s="44" customFormat="1" x14ac:dyDescent="0.3">
      <c r="A95" s="50"/>
      <c r="B95" s="50"/>
      <c r="C95" s="50"/>
      <c r="D95" s="50"/>
      <c r="E95" s="109"/>
      <c r="F95" s="51"/>
      <c r="G95" s="51"/>
    </row>
    <row r="96" spans="1:7" s="44" customFormat="1" x14ac:dyDescent="0.3">
      <c r="A96" s="50"/>
      <c r="B96" s="50"/>
      <c r="C96" s="50"/>
      <c r="D96" s="50"/>
      <c r="E96" s="109"/>
      <c r="F96" s="51"/>
      <c r="G96" s="51"/>
    </row>
    <row r="97" spans="1:7" s="44" customFormat="1" x14ac:dyDescent="0.3">
      <c r="A97" s="50"/>
      <c r="B97" s="50"/>
      <c r="C97" s="50"/>
      <c r="D97" s="50"/>
      <c r="E97" s="109"/>
      <c r="F97" s="51"/>
      <c r="G97" s="51"/>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row r="109" spans="1:7" s="44" customFormat="1" x14ac:dyDescent="0.3">
      <c r="A109" s="50"/>
      <c r="B109" s="50"/>
      <c r="C109" s="50"/>
      <c r="D109" s="50"/>
      <c r="E109" s="109"/>
      <c r="F109" s="51"/>
      <c r="G109" s="51"/>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row r="121" spans="1:7" s="44" customFormat="1" x14ac:dyDescent="0.3">
      <c r="A121" s="50"/>
      <c r="B121" s="50"/>
      <c r="C121" s="50"/>
      <c r="D121" s="50"/>
      <c r="E121" s="109"/>
      <c r="F121" s="51"/>
      <c r="G121" s="51"/>
    </row>
    <row r="122" spans="1:7" s="40" customFormat="1" ht="30" customHeight="1" x14ac:dyDescent="0.3">
      <c r="A122" s="50"/>
      <c r="B122" s="50"/>
      <c r="C122" s="50"/>
      <c r="D122" s="50"/>
      <c r="E122" s="109"/>
      <c r="F122" s="51"/>
      <c r="G122" s="51"/>
    </row>
    <row r="123" spans="1:7" s="40" customFormat="1" ht="30" customHeight="1" x14ac:dyDescent="0.3">
      <c r="A123" s="50"/>
      <c r="B123" s="50"/>
      <c r="C123" s="50"/>
      <c r="D123" s="50"/>
      <c r="E123" s="109"/>
      <c r="F123" s="51"/>
      <c r="G123" s="51"/>
    </row>
    <row r="124" spans="1:7" s="44" customFormat="1" x14ac:dyDescent="0.3">
      <c r="A124" s="50"/>
      <c r="B124" s="50"/>
      <c r="C124" s="50"/>
      <c r="D124" s="50"/>
      <c r="E124" s="109"/>
      <c r="F124" s="51"/>
      <c r="G124" s="51"/>
    </row>
    <row r="125" spans="1:7" s="44" customFormat="1" x14ac:dyDescent="0.3">
      <c r="A125" s="50"/>
      <c r="B125" s="50"/>
      <c r="C125" s="50"/>
      <c r="D125" s="50"/>
      <c r="E125" s="109"/>
      <c r="F125" s="51"/>
      <c r="G125" s="51"/>
    </row>
    <row r="126" spans="1:7" s="44" customFormat="1" x14ac:dyDescent="0.3">
      <c r="A126" s="50"/>
      <c r="B126" s="50"/>
      <c r="C126" s="50"/>
      <c r="D126" s="50"/>
      <c r="E126" s="109"/>
      <c r="F126" s="51"/>
      <c r="G126" s="51"/>
    </row>
    <row r="127" spans="1:7" s="44" customFormat="1" x14ac:dyDescent="0.3">
      <c r="A127" s="50"/>
      <c r="B127" s="50"/>
      <c r="C127" s="50"/>
      <c r="D127" s="50"/>
      <c r="E127" s="109"/>
      <c r="F127" s="51"/>
      <c r="G127" s="51"/>
    </row>
    <row r="128" spans="1:7" s="44" customFormat="1" x14ac:dyDescent="0.3">
      <c r="A128" s="50"/>
      <c r="B128" s="50"/>
      <c r="C128" s="50"/>
      <c r="D128" s="50"/>
      <c r="E128" s="109"/>
      <c r="F128" s="51"/>
      <c r="G128" s="51"/>
    </row>
    <row r="129" spans="1:7" s="44" customFormat="1" x14ac:dyDescent="0.3">
      <c r="A129" s="50"/>
      <c r="B129" s="50"/>
      <c r="C129" s="50"/>
      <c r="D129" s="50"/>
      <c r="E129" s="109"/>
      <c r="F129" s="51"/>
      <c r="G129" s="51"/>
    </row>
    <row r="130" spans="1:7" s="44" customFormat="1" x14ac:dyDescent="0.3">
      <c r="A130" s="50"/>
      <c r="B130" s="50"/>
      <c r="C130" s="50"/>
      <c r="D130" s="50"/>
      <c r="E130" s="109"/>
      <c r="F130" s="51"/>
      <c r="G130" s="51"/>
    </row>
    <row r="131" spans="1:7" s="44" customFormat="1" x14ac:dyDescent="0.3">
      <c r="A131" s="50"/>
      <c r="B131" s="50"/>
      <c r="C131" s="50"/>
      <c r="D131" s="50"/>
      <c r="E131" s="109"/>
      <c r="F131" s="51"/>
      <c r="G131" s="51"/>
    </row>
    <row r="132" spans="1:7" s="44" customFormat="1" x14ac:dyDescent="0.3">
      <c r="A132" s="50"/>
      <c r="B132" s="50"/>
      <c r="C132" s="50"/>
      <c r="D132" s="50"/>
      <c r="E132" s="109"/>
      <c r="F132" s="51"/>
      <c r="G132" s="51"/>
    </row>
  </sheetData>
  <sheetProtection formatRows="0" insertRows="0" insertHyperlinks="0" deleteRows="0" selectLockedCells="1"/>
  <mergeCells count="40">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15:F15"/>
    <mergeCell ref="E16:F16"/>
    <mergeCell ref="E17:F17"/>
    <mergeCell ref="E18:F18"/>
    <mergeCell ref="E19:F19"/>
    <mergeCell ref="E20:F20"/>
    <mergeCell ref="E21:F21"/>
    <mergeCell ref="E22:F22"/>
    <mergeCell ref="E23:F23"/>
    <mergeCell ref="E24:F24"/>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xr:uid="{7CDEA4A1-A61A-4E4E-9855-2D8829DDECDA}">
      <formula1>0</formula1>
      <formula2>60</formula2>
    </dataValidation>
    <dataValidation type="list" allowBlank="1" showInputMessage="1" showErrorMessage="1" sqref="A40:A47 A28:A35 A16:A23 A4:A11" xr:uid="{03B3E2EF-A78D-40DC-8695-493F00B5DBB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3"/>
      <c r="B10" s="173"/>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16</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40</v>
      </c>
      <c r="F14" s="180"/>
      <c r="G14" s="180"/>
      <c r="H14" s="180"/>
      <c r="I14" s="88"/>
      <c r="J14" s="88"/>
      <c r="K14" s="181" t="s">
        <v>28</v>
      </c>
      <c r="L14" s="181"/>
      <c r="M14" s="181"/>
      <c r="N14" s="181"/>
      <c r="O14" s="112"/>
      <c r="P14" s="112"/>
      <c r="Q14" s="180" t="s">
        <v>41</v>
      </c>
      <c r="R14" s="180"/>
      <c r="S14" s="180"/>
      <c r="T14" s="180"/>
      <c r="U14" s="88"/>
      <c r="V14" s="88"/>
      <c r="W14" s="181" t="s">
        <v>29</v>
      </c>
      <c r="X14" s="181"/>
      <c r="Y14" s="181"/>
      <c r="Z14" s="181"/>
      <c r="AA14" s="112"/>
      <c r="AB14" s="112"/>
      <c r="AC14" s="180" t="s">
        <v>42</v>
      </c>
      <c r="AD14" s="180"/>
      <c r="AE14" s="180"/>
      <c r="AF14" s="180"/>
      <c r="AG14" s="88"/>
      <c r="AH14" s="88"/>
      <c r="AI14" s="181" t="s">
        <v>30</v>
      </c>
      <c r="AJ14" s="181"/>
      <c r="AK14" s="181"/>
      <c r="AL14" s="181"/>
      <c r="AM14" s="112"/>
      <c r="AN14" s="112"/>
      <c r="AO14" s="180" t="s">
        <v>43</v>
      </c>
      <c r="AP14" s="180"/>
      <c r="AQ14" s="180"/>
      <c r="AR14" s="180"/>
      <c r="AS14" s="88"/>
      <c r="AT14" s="88"/>
      <c r="AU14" s="181" t="s">
        <v>31</v>
      </c>
      <c r="AV14" s="181"/>
      <c r="AW14" s="181"/>
      <c r="AX14" s="181"/>
      <c r="AY14" s="112"/>
      <c r="AZ14" s="112"/>
      <c r="BA14" s="180" t="s">
        <v>44</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16</v>
      </c>
      <c r="B1" s="146">
        <v>1</v>
      </c>
      <c r="C1" s="146"/>
      <c r="D1" s="67" t="s">
        <v>19</v>
      </c>
      <c r="E1" s="79"/>
      <c r="F1" s="110"/>
      <c r="G1" s="39"/>
    </row>
    <row r="2" spans="1:7" s="40" customFormat="1" ht="30" customHeight="1" thickBot="1" x14ac:dyDescent="0.3">
      <c r="A2" s="65" t="s">
        <v>5</v>
      </c>
      <c r="B2" s="133" t="s">
        <v>46</v>
      </c>
      <c r="C2" s="134"/>
      <c r="D2" s="65" t="s">
        <v>17</v>
      </c>
      <c r="E2" s="200" t="s">
        <v>18</v>
      </c>
      <c r="F2" s="201"/>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33</v>
      </c>
      <c r="B11" s="69">
        <f>SUM(B3:B10)</f>
        <v>0</v>
      </c>
      <c r="C11" s="95" t="str">
        <f xml:space="preserve"> setValueToTime(B11)</f>
        <v>0h</v>
      </c>
      <c r="D11" s="104"/>
      <c r="E11" s="202"/>
      <c r="F11" s="20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16</v>
      </c>
      <c r="B1" s="147">
        <v>1</v>
      </c>
      <c r="C1" s="147"/>
      <c r="D1" s="140" t="s">
        <v>19</v>
      </c>
      <c r="E1" s="141"/>
      <c r="F1" s="142"/>
      <c r="G1" s="39"/>
    </row>
    <row r="2" spans="1:7" s="40" customFormat="1" ht="30" customHeight="1" thickBot="1" x14ac:dyDescent="0.3">
      <c r="A2" s="63" t="s">
        <v>5</v>
      </c>
      <c r="B2" s="144" t="s">
        <v>46</v>
      </c>
      <c r="C2" s="143"/>
      <c r="D2" s="63" t="s">
        <v>17</v>
      </c>
      <c r="E2" s="196" t="s">
        <v>18</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33</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5E06A3B2-3E14-4C60-83A5-09EAA470793D}">
  <ds:schemaRefs>
    <ds:schemaRef ds:uri="http://schemas.microsoft.com/sharepoint/v3/contenttype/forms"/>
  </ds:schemaRefs>
</ds:datastoreItem>
</file>

<file path=customXml/itemProps2.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2024-09-20T14:27:26Z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